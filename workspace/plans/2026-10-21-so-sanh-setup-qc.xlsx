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Tuan\12. Tool bán hàng\workspace\plans\"/>
    </mc:Choice>
  </mc:AlternateContent>
  <xr:revisionPtr revIDLastSave="0" documentId="13_ncr:1_{EC894F55-39F8-4735-9FCC-F57D1D35FC2A}" xr6:coauthVersionLast="47" xr6:coauthVersionMax="47" xr10:uidLastSave="{00000000-0000-0000-0000-000000000000}"/>
  <bookViews>
    <workbookView xWindow="-120" yWindow="-120" windowWidth="29040" windowHeight="15840" activeTab="2" xr2:uid="{00000000-000D-0000-FFFF-FFFF00000000}"/>
  </bookViews>
  <sheets>
    <sheet name="Huong dan" sheetId="1" r:id="rId1"/>
    <sheet name="So sanh" sheetId="2" r:id="rId2"/>
    <sheet name="PA1 vs PA2" sheetId="3" r:id="rId3"/>
    <sheet name="Ngan sach" sheetId="4" r:id="rId4"/>
    <sheet name="Chu va video" sheetId="5" r:id="rId5"/>
    <sheet name="Cau hoi doi K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4" l="1"/>
  <c r="B18" i="4" s="1"/>
  <c r="B13" i="4"/>
  <c r="B16" i="4" s="1"/>
  <c r="B19" i="4" s="1"/>
  <c r="B12" i="4"/>
  <c r="B14" i="4" l="1"/>
  <c r="B15" i="4"/>
</calcChain>
</file>

<file path=xl/sharedStrings.xml><?xml version="1.0" encoding="utf-8"?>
<sst xmlns="http://schemas.openxmlformats.org/spreadsheetml/2006/main" count="282" uniqueCount="261">
  <si>
    <t>So sánh cài đặt quảng cáo Yên Thế Golden Hill — đang chạy vs đề xuất QC-CS10 (21/10/2026)</t>
  </si>
  <si>
    <t>Bản nháp để hỏi đội kinh doanh. CHƯA tạo gì trên Meta. Bật chiến dịch mới cần người dùng 'ok'.</t>
  </si>
  <si>
    <t>Ô TÔ VÀNG = chỗ anh/chị và đội kinh doanh sửa hoặc ghi ý kiến. Các ô khác là nội dung đề xuất; muốn sửa nội dung thì cứ sửa thẳng và ghi lý do vào cột vàng.</t>
  </si>
  <si>
    <t>Trang 'Ngan sach': chỉ sửa ô vàng (ngày, tiền/ngày, VAT, giá mỗi cuộc, mốc); các ô trắng tính bằng công thức sẽ tự đổi.</t>
  </si>
  <si>
    <t>Ví dụ cách ghi ý kiến: 'Đồng ý PA1 — có người trực tới 22h' hoặc 'Đổi bán kính 25 km, không gồm KCN Việt Yên'.</t>
  </si>
  <si>
    <t>Nguồn: bản cài đặt workspace/plans/2026-10-21-campaign-chinh-sach-thang-10.md; số đang chạy đọc từ Meta 20–21/10 (kết nối chỉ đọc); đánh giá Muse: workspace/reports/2026-10-21-danh-gia-muse-chi-tiet.md.</t>
  </si>
  <si>
    <t>Các trang: So sanh (đang chạy vs đề xuất) · PA1 vs PA2 · Ngan sach · Chu va video · Cau hoi doi KD.</t>
  </si>
  <si>
    <t>Bảng 1 — Đang chạy vs đề xuất mới (điểm chung của cả 2 phương án)</t>
  </si>
  <si>
    <t>Cột E tô vàng: ý kiến / sửa của anh chị và đội kinh doanh</t>
  </si>
  <si>
    <t>Hạng mục</t>
  </si>
  <si>
    <t>Đang chạy ('Yên thế Video Mới.')</t>
  </si>
  <si>
    <t>Đề xuất mới (QC-CS10)</t>
  </si>
  <si>
    <t>Vì sao đổi</t>
  </si>
  <si>
    <t>Ý kiến / sửa (đội KD, anh chị)</t>
  </si>
  <si>
    <t>Tên</t>
  </si>
  <si>
    <t>Mặc định 'Nhóm/Quảng cáo Lượt tương tác mới'</t>
  </si>
  <si>
    <t>Chiến dịch QC-CS10 | chinh-sach-thang-10 · nhóm QC-CS10 | 30km-du-an · mẫu QC-CS10-V1 / V2</t>
  </si>
  <si>
    <t>Có mã để ghép với sổ nguồn khách</t>
  </si>
  <si>
    <t>Mục tiêu</t>
  </si>
  <si>
    <t>Tương tác → Messenger, tối đa hoá số cuộc trò chuyện</t>
  </si>
  <si>
    <t>Giữ nguyên</t>
  </si>
  <si>
    <t>Đang ra rẻ (27.066 đ/cuộc), không đổi</t>
  </si>
  <si>
    <t>Trang chạy</t>
  </si>
  <si>
    <t>'Bán đất Phân lô tại Bắc Giang' (Trang cá nhân)</t>
  </si>
  <si>
    <t>Hỏi đội KD; luật dự án muốn Trang chủ đầu tư</t>
  </si>
  <si>
    <t>Chạy bằng Trang không phải của chủ đầu tư là trái luật dự án (§H7)</t>
  </si>
  <si>
    <t>Số nhóm quảng cáo</t>
  </si>
  <si>
    <t>1</t>
  </si>
  <si>
    <t>Gộp để Meta đủ dữ liệu học (~50 cuộc/tuần)</t>
  </si>
  <si>
    <t>Tiền</t>
  </si>
  <si>
    <t>300.000 đ/ngày (chưa VAT)</t>
  </si>
  <si>
    <t>Không tăng tiền</t>
  </si>
  <si>
    <t>Quốc gia</t>
  </si>
  <si>
    <t>Việt Nam + cả nước Mỹ (đã tốn ~21.000 đ ở Mỹ)</t>
  </si>
  <si>
    <t>Chỉ Việt Nam</t>
  </si>
  <si>
    <t>Mỹ là tiền mất, lại có luật riêng về quảng cáo nhà đất</t>
  </si>
  <si>
    <t>Vùng</t>
  </si>
  <si>
    <t>2 vòng 16 km: TP Bắc Giang cũ + VSIP Từ Sơn. Không gồm vùng dự án; 14% tiền chạy sang Hà Nội</t>
  </si>
  <si>
    <t>1 vòng 30 km quanh dự án (Yên Thế, Bố Hạ, Tân Yên, Lạng Giang, TP Bắc Giang cũ, KCN Việt Yên)</t>
  </si>
  <si>
    <t>Đúng nhóm khách mua để xây nhà; hết tràn Hà Nội</t>
  </si>
  <si>
    <t>Kiểu người theo vị trí</t>
  </si>
  <si>
    <t>Sống + mới tới + hay lui tới</t>
  </si>
  <si>
    <t>Meta không còn cho chọn riêng 'người sống ở đây'</t>
  </si>
  <si>
    <t>Tuổi · nhắm chi tiết</t>
  </si>
  <si>
    <t>25–65 · máy tự mở rộng</t>
  </si>
  <si>
    <t>25–65+ · để trống</t>
  </si>
  <si>
    <t>Gần như giữ nguyên</t>
  </si>
  <si>
    <t>Vị trí hiển thị</t>
  </si>
  <si>
    <t>Tự động (Facebook, Instagram, Threads, mạng đối tác)</t>
  </si>
  <si>
    <t>Tự động</t>
  </si>
  <si>
    <t>Số mẫu</t>
  </si>
  <si>
    <t>1 video (1:38)</t>
  </si>
  <si>
    <t>2 mẫu: video mới ~60 giây + video cũ với chữ mới (sau khi soát lời nói trong video cũ)</t>
  </si>
  <si>
    <t>Biết video nào ra khách hơn mà không phải tách nhóm</t>
  </si>
  <si>
    <t>Câu mở</t>
  </si>
  <si>
    <t>CHỈ 500 TRIỆU – SỞ HỮU LÔ ĐẤT HƠN 1 TỶ, SỔ ĐỎ CẦM TAY, XÂY NHÀ NGAY!</t>
  </si>
  <si>
    <t>CHỈ VỚI 500 TRIỆU ĐÃ SỞ HỮU LÔ ĐẤT (*): trả trước 500 triệu khi ký, lô đến khoảng 1,3 tỷ, còn lại 4 đợt 15% trong 180 ngày</t>
  </si>
  <si>
    <t>Câu đã duyệt, điều kiện ngay dòng đầu, không gây hiểu nhầm</t>
  </si>
  <si>
    <t>Thân bài</t>
  </si>
  <si>
    <t>'cam kết 100% không có cỏ', '1,5km', 'pháp lý rõ ràng'; không có dòng (*)</t>
  </si>
  <si>
    <t>Sổ riêng từng lô, trao sổ tháng 10, câu pháp lý chuẩn, lô 82–185 m², quảng trường buổi tối, quà + ưu đãi tới 31/10, dòng (*)</t>
  </si>
  <si>
    <t>Bỏ câu phạm luật; thêm mốc ngày thật</t>
  </si>
  <si>
    <t>Lời mời</t>
  </si>
  <si>
    <t>'Gọi ngay 0948.903.888' (nút lại là Gửi tin nhắn)</t>
  </si>
  <si>
    <t>Bấm Gửi tin nhắn, em gửi: bảng giá · ảnh sổ + vị trí lô trên bản đồ · lịch xem đất cuối tuần; hoặc 0965 539 599</t>
  </si>
  <si>
    <t>Khách biết nhắn xong nhận được gì; đúng số trong hồ sơ dự án</t>
  </si>
  <si>
    <t>Tiêu đề</t>
  </si>
  <si>
    <t>Số điện thoại Phòng KD</t>
  </si>
  <si>
    <t>Đất có sổ riêng – trung tâm xã Yên Thế</t>
  </si>
  <si>
    <t>Tiêu đề nói lợi ích</t>
  </si>
  <si>
    <t>Tin chào Messenger</t>
  </si>
  <si>
    <t>Chưa xem được</t>
  </si>
  <si>
    <t>Hỏi 'cần em gửi gì trước' (4 nút) → hỏi 'đang ở khu nào' → xin Zalo</t>
  </si>
  <si>
    <t>Biết vùng nào ra khách; trao thông tin trước rồi mới xin số</t>
  </si>
  <si>
    <t>Meta tự sửa chữ quảng cáo</t>
  </si>
  <si>
    <t>Chưa biết bật hay tắt</t>
  </si>
  <si>
    <t>Tắt</t>
  </si>
  <si>
    <t>Giữ nguyên dòng (*) và câu chữ đã duyệt</t>
  </si>
  <si>
    <t>Cách đo</t>
  </si>
  <si>
    <t>Chỉ đếm số cuộc trò chuyện</t>
  </si>
  <si>
    <t>Nhãn hộp thư + sổ nguồn khách: cho số · hẹn xem · đã xem · cọc</t>
  </si>
  <si>
    <t>Chấm bằng lượt đi xem đất (mốc ~44 cuộc ra 1 lượt)</t>
  </si>
  <si>
    <t>Kiểm pháp lý</t>
  </si>
  <si>
    <t>Phạm 6 luật dự án</t>
  </si>
  <si>
    <t>Máy kiểm đạt; người kiểm pháp lý đã soát</t>
  </si>
  <si>
    <t>Kết quả</t>
  </si>
  <si>
    <t>38 cuộc (17–20/10), 27.066 đ/cuộc, CTR liên kết 2,46%, tần suất 1,91; chưa biết số khách thật</t>
  </si>
  <si>
    <t>Chưa chạy; giá mỗi cuộc có thể nhích lên mấy ngày đầu vì Meta học lại (chưa kiểm chứng)</t>
  </si>
  <si>
    <t>Bảng 2 — Hai phương án mới khác nhau ở đâu</t>
  </si>
  <si>
    <t>Giống nhau: vùng, mẫu, chữ, tin chào, cách đo. Cột E tô vàng: chọn / ý kiến</t>
  </si>
  <si>
    <t>Phương án 1</t>
  </si>
  <si>
    <t>Phương án 2</t>
  </si>
  <si>
    <t>Khi nào chọn</t>
  </si>
  <si>
    <t>Chọn / ý kiến</t>
  </si>
  <si>
    <t>Kiểu ngân sách</t>
  </si>
  <si>
    <t>Trọn đời: 2,4 triệu cho 24–31/10</t>
  </si>
  <si>
    <t>Theo ngày: 300.000 đ/ngày</t>
  </si>
  <si>
    <t>—</t>
  </si>
  <si>
    <t>Giờ chạy</t>
  </si>
  <si>
    <t>Chỉ 7h–22h</t>
  </si>
  <si>
    <t>Cả ngày</t>
  </si>
  <si>
    <t>PA1 nếu có người trực tới 22h</t>
  </si>
  <si>
    <t>Tin nhắn ban đêm</t>
  </si>
  <si>
    <t>Không có (quảng cáo tắt)</t>
  </si>
  <si>
    <t>Khách nhắn đêm, sáng mới trả lời (có tin nhắn tự trả lời)</t>
  </si>
  <si>
    <t>PA2 nếu không ai trực tối</t>
  </si>
  <si>
    <t>Trả lời nhanh</t>
  </si>
  <si>
    <t>Dễ giữ trong 5 phút</t>
  </si>
  <si>
    <t>Khách nhắn đêm nguội dần</t>
  </si>
  <si>
    <t>Trả lời nhanh là cách rẻ nhất để có số</t>
  </si>
  <si>
    <t>Bị mất gì</t>
  </si>
  <si>
    <t>Bỏ khung 22h–23h (bình luận ở nhóm kéo tới 23h)</t>
  </si>
  <si>
    <t>Trả tiền cho khách nhắn lúc không ai trực</t>
  </si>
  <si>
    <t>Sửa ngân sách</t>
  </si>
  <si>
    <t>Khó hơn, phải đặt ngày kết thúc</t>
  </si>
  <si>
    <t>Tăng giảm dễ</t>
  </si>
  <si>
    <t>PA2 nếu muốn linh hoạt</t>
  </si>
  <si>
    <t>Chưa chắc</t>
  </si>
  <si>
    <t>Đặt giờ với ngân sách ngày: 2 trang trợ giúp Meta nói khác nhau, cần xem màn hình thật</t>
  </si>
  <si>
    <t>Nếu làm được thì PA2 cũng đặt giờ được</t>
  </si>
  <si>
    <t>Chi phí 8 ngày</t>
  </si>
  <si>
    <t>2,4 triệu (+VAT ≈ 2,64 triệu)</t>
  </si>
  <si>
    <t>Như PA1</t>
  </si>
  <si>
    <t>Bằng nhau — xem trang 'Ngan sach'</t>
  </si>
  <si>
    <t>Khuyến nghị</t>
  </si>
  <si>
    <t>Chọn nếu có người trực tới 22h</t>
  </si>
  <si>
    <t>Chọn nếu không có người trực tối</t>
  </si>
  <si>
    <t>Ngân sách và mốc cần đạt — sửa ô vàng, ô trắng tự tính</t>
  </si>
  <si>
    <t>Ngày bắt đầu</t>
  </si>
  <si>
    <t>Dự kiến khi video duyệt xong — đội KD xác nhận</t>
  </si>
  <si>
    <t>Ngày kết thúc</t>
  </si>
  <si>
    <t>Hết ưu đãi 2%/3% (chính sách tháng 10)</t>
  </si>
  <si>
    <t>Tiền mỗi ngày (chưa VAT, đ)</t>
  </si>
  <si>
    <t>Bằng mức quảng cáo đang chạy</t>
  </si>
  <si>
    <t>VAT Meta thu thêm</t>
  </si>
  <si>
    <t>Nguồn: skill quang-cao-bds §2 (Meta thu VAT 10% từ 01/07/2025)</t>
  </si>
  <si>
    <t>Giá mỗi cuộc trò chuyện (đ)</t>
  </si>
  <si>
    <t>Số thật 17–20/10 của quảng cáo đang chạy (Meta)</t>
  </si>
  <si>
    <t>Chi phí mục tiêu mỗi lượt đi xem (đ)</t>
  </si>
  <si>
    <t>Mục tiêu kế hoạch bán v2 (trần 1.500.000 đ)</t>
  </si>
  <si>
    <t>Tự tính</t>
  </si>
  <si>
    <t>Số ngày chạy</t>
  </si>
  <si>
    <t>Tổng tiền chưa VAT (đ)</t>
  </si>
  <si>
    <t>VAT (đ)</t>
  </si>
  <si>
    <t>Tổng tiền gồm VAT (đ)</t>
  </si>
  <si>
    <t>Số cuộc trò chuyện dự kiến</t>
  </si>
  <si>
    <t>Tỉ lệ cuộc trò chuyện → lượt đi xem cần đạt</t>
  </si>
  <si>
    <t>Số cuộc cần cho 1 lượt đi xem</t>
  </si>
  <si>
    <t>Lượt đi xem cần đạt trong đợt</t>
  </si>
  <si>
    <t>Ghi chú: số dự kiến giả định giá mỗi cuộc giữ như 17–20/10; mấy ngày đầu có thể cao hơn vì Meta học lại [GIẢ THUYẾT].</t>
  </si>
  <si>
    <t>Chữ quảng cáo và kịch bản video mới (đã qua máy kiểm + người kiểm pháp lý 21/10)</t>
  </si>
  <si>
    <t>Sửa thẳng vào ô hoặc ghi vào cột tô vàng; chữ đã sửa phải kiểm lại trước khi chạy</t>
  </si>
  <si>
    <t>Phần</t>
  </si>
  <si>
    <t>Nội dung đề xuất</t>
  </si>
  <si>
    <t>Ý kiến / sửa</t>
  </si>
  <si>
    <t>Chữ chính – dòng 1</t>
  </si>
  <si>
    <t>🏡 CHỈ VỚI 500 TRIỆU ĐÃ SỞ HỮU LÔ ĐẤT (*): trả trước 500 triệu khi ký, lô đến khoảng 1,3 tỷ, còn lại 4 đợt 15% trong 180 ngày.</t>
  </si>
  <si>
    <t>Chữ chính – điều kiện</t>
  </si>
  <si>
    <t>Đợt đầu là 40% giá lô, đợt cuối nhận sổ (*). Sổ đỏ riêng từng lô, ở trung tâm xã Yên Thế.</t>
  </si>
  <si>
    <t>Chữ chính – ý 1</t>
  </si>
  <si>
    <t>✅ Tháng 10 bên em đã trao sổ đỏ cho các anh chị khách đã mua</t>
  </si>
  <si>
    <t>Chữ chính – ý 2</t>
  </si>
  <si>
    <t>✅ Đủ điều kiện chuyển nhượng, ký hợp đồng công chứng, sang tên GCN từng lô</t>
  </si>
  <si>
    <t>Chữ chính – ý 3</t>
  </si>
  <si>
    <t>✅ Lô 82 đến 185 m², có dãy lô mặt đường tỉnh lộ 292</t>
  </si>
  <si>
    <t>Chữ chính – ý 4</t>
  </si>
  <si>
    <t>✅ Tối nào quảng trường cũng có hàng quán, hàng trò chơi cho các cháu</t>
  </si>
  <si>
    <t>Chữ chính – quà, ưu đãi</t>
  </si>
  <si>
    <t>🎁 Tặng 30 tấn xi măng và 20 vạn gạch cho cư dân về ở sớm (*). Đến hết 31/10/2026: ưu đãi 2% cho cư dân Bắc Ninh, 3% khi thanh toán sớm, mỗi loại cho 15 khách đầu tiên (*).</t>
  </si>
  <si>
    <t>Chữ chính – địa chỉ</t>
  </si>
  <si>
    <t>📍 Yên Thế Golden Hill – trung tâm xã Yên Thế, thành phố Bắc Ninh (khu vực Yên Thế – Bắc Giang cũ).</t>
  </si>
  <si>
    <t>Chữ chính – lời mời</t>
  </si>
  <si>
    <t>Bấm "Gửi tin nhắn", em gửi anh chị: • Bảng giá các lô đang mở bán • Ảnh sổ (đã che thông tin) và vị trí lô trên bản đồ • Lịch đi xem đất cuối tuần, bên chủ đầu tư dẫn trực tiếp. Hoặc gọi/Zalo 0965 539 599. #YenTheGoldenHill</t>
  </si>
  <si>
    <t>Chữ chính – dòng (*)</t>
  </si>
  <si>
    <t>(*) Theo chính sách bán hàng tháng 10/2026 của chủ đầu tư, áp dụng có điều kiện; ưu đãi 2% và 3% đến hết 31/10/2026.</t>
  </si>
  <si>
    <t>Mô tả</t>
  </si>
  <si>
    <t>Bên chủ đầu tư dẫn xem đất</t>
  </si>
  <si>
    <t>Tin chào – lời chào</t>
  </si>
  <si>
    <t>Dạ em chào anh/chị, em bên chủ đầu tư Yên Thế Golden Hill ạ. Anh/chị cần em gửi gì trước ạ?</t>
  </si>
  <si>
    <t>Tin chào – nút</t>
  </si>
  <si>
    <t>Gửi em bảng giá · Ảnh sổ + vị trí lô · Đặt lịch xem đất cuối tuần · Trả trước 500 triệu áp dụng thế nào?</t>
  </si>
  <si>
    <t>Tin chào – câu tiếp</t>
  </si>
  <si>
    <t>Dạ anh/chị đang ở khu nào ạ? (Yên Thế – Tân Yên · TP Bắc Giang cũ · Việt Yên – KCN · nơi khác) → Em gửi bảng giá, ảnh sổ và bản đồ qua Zalo để cả nhà cùng xem, anh/chị cho em xin số Zalo hay dùng ạ?</t>
  </si>
  <si>
    <t>Kịch bản video mới (dọc 9:16, 55–70 giây, nhân viên bên chủ đầu tư dẫn tại dự án)</t>
  </si>
  <si>
    <t>Giây</t>
  </si>
  <si>
    <t>Hình</t>
  </si>
  <si>
    <t>Lời nói</t>
  </si>
  <si>
    <t>Chữ lớn trên hình</t>
  </si>
  <si>
    <t>0–3 giây</t>
  </si>
  <si>
    <t>Đứng ở đường chính/quảng trường, thấy rõ khu đất</t>
  </si>
  <si>
    <t>Chỉ với 500 triệu đã sở hữu lô đất ở trung tâm xã Yên Thế.</t>
  </si>
  <si>
    <t>CHỈ VỚI 500 TRIỆU ĐÃ SỞ HỮU LÔ ĐẤT (*)</t>
  </si>
  <si>
    <t>3–12 giây</t>
  </si>
  <si>
    <t>Cầm bản chính sách đã sửa (không cầm bản gốc)</t>
  </si>
  <si>
    <t>Trả trước 500 triệu khi ký, áp dụng cho lô đến khoảng 1,3 tỷ, tức đợt đầu là 40% giá lô. Phần còn lại chia 4 đợt, mỗi đợt 15%, trong 180 ngày, đợt cuối nhận sổ.</t>
  </si>
  <si>
    <t>TRẢ TRƯỚC 500 TRIỆU · LÔ ĐẾN KHOẢNG 1,3 TỶ · 4 ĐỢT 15% TRONG 180 NGÀY · ĐỢT CUỐI NHẬN SỔ (*)</t>
  </si>
  <si>
    <t>12–22 giây</t>
  </si>
  <si>
    <t>Clip/ảnh lễ trao sổ tháng 10 (khách đã đồng ý; che thông tin trên sổ)</t>
  </si>
  <si>
    <t>Tháng 10 này bên em đã trao sổ đỏ cho các anh chị khách đã mua. Sổ riêng từng lô.</t>
  </si>
  <si>
    <t>ĐÃ TRAO SỔ ĐỎ – THÁNG 10/2026</t>
  </si>
  <si>
    <t>22–38 giây</t>
  </si>
  <si>
    <t>Đi bộ đường nội khu, lô trống, đèn đường; cảnh quảng trường buổi tối quay mới, trẻ con ở xa hoặc làm mờ mặt</t>
  </si>
  <si>
    <t>Đủ điều kiện chuyển nhượng, ký hợp đồng công chứng, sang tên GCN từng lô. Lô 82 đến 185 mét vuông, có dãy lô mặt đường tỉnh lộ 292. Tối nào quảng trường cũng có hàng quán, hàng trò chơi cho các cháu.</t>
  </si>
  <si>
    <t>SỔ RIÊNG TỪNG LÔ · LÔ 82–185 m² (*)</t>
  </si>
  <si>
    <t>38–50 giây</t>
  </si>
  <si>
    <t>Đứng trên 1 lô, chỉ về phía khu dân cư</t>
  </si>
  <si>
    <t>Bên em tặng 30 tấn xi măng và 20 vạn gạch cho cư dân về ở sớm. Đến hết 31/10: cư dân Bắc Ninh ưu đãi 2%, thanh toán sớm 3%, mỗi loại cho 15 khách đầu tiên.</t>
  </si>
  <si>
    <t>QUÀ XÂY NHÀ (*) · ƯU ĐÃI 2% / 3% ĐẾN 31/10 (*)</t>
  </si>
  <si>
    <t>50–62 giây</t>
  </si>
  <si>
    <t>Nhìn thẳng ống kính</t>
  </si>
  <si>
    <t>Anh chị bấm Gửi tin nhắn, em gửi bảng giá, ảnh sổ và vị trí lô trên bản đồ. Cuối tuần bên em đưa anh chị đi xem đất trực tiếp.</t>
  </si>
  <si>
    <t>BẤM "GỬI TIN NHẮN"</t>
  </si>
  <si>
    <t>Khung cuối</t>
  </si>
  <si>
    <t>Tên dự án + dòng chú thích</t>
  </si>
  <si>
    <t>Yên Thế Golden Hill – trung tâm xã Yên Thế, TP Bắc Ninh · (*) Theo chính sách bán hàng tháng 10/2026 của chủ đầu tư, áp dụng có điều kiện</t>
  </si>
  <si>
    <t>Yêu cầu quay: phụ đề chạy suốt video, chữ to; chữ quan trọng giữa khung, tránh sát mép trên/dưới; tên dự án 1 góc cố định; mọi con số nói ra có chữ trên hình kèm (*).</t>
  </si>
  <si>
    <t>Không nói, không quay: bản in chính sách gốc (còn 'VÔ TIỀN KHOÁNG HẬU', 'duy nhất', logo rạp phim); mặt trẻ em rõ; ảnh đêm cũ hoặc ảnh AI; 'sổ đỏ trao tay/cầm tay', 'nhận sổ ngay', 'nhất/duy nhất', 'sắp hết lô', 'cam kết', 'tăng giá', khoảng cách/số phút, '5 công viên', tên dự án khác; mặt khách chưa đồng ý; thông tin trên sổ.</t>
  </si>
  <si>
    <t>Quay sẵn 2 bản: có và không có đoạn ưu đãi (38–50 giây) để dùng từ 01/11.</t>
  </si>
  <si>
    <t>10 câu hỏi cho đội kinh doanh (trả lời trước khi bật)</t>
  </si>
  <si>
    <t>Cột C tô vàng: đội KD trả lời</t>
  </si>
  <si>
    <t>#</t>
  </si>
  <si>
    <t>Câu hỏi</t>
  </si>
  <si>
    <t>Trả lời của đội KD</t>
  </si>
  <si>
    <t>Ghi chú</t>
  </si>
  <si>
    <t>Chạy từ Trang nào? Trang 'Bán đất Phân lô tại Bắc Giang' (đang chạy) hay Trang chính thức của chủ đầu tư?</t>
  </si>
  <si>
    <t>Luật dự án §H7: quảng cáo phải chạy từ Trang chủ đầu tư</t>
  </si>
  <si>
    <t>2</t>
  </si>
  <si>
    <t>Ai trực Messenger, tới mấy giờ?</t>
  </si>
  <si>
    <t>Quyết PA1 (7h–22h) hay PA2 (cả ngày)</t>
  </si>
  <si>
    <t>3</t>
  </si>
  <si>
    <t>Ghim vị trí dự án (link Google Maps) và bán kính: 30 km hay 25 km?</t>
  </si>
  <si>
    <t>30 km gồm TP Bắc Giang cũ, KCN Việt Yên</t>
  </si>
  <si>
    <t>4</t>
  </si>
  <si>
    <t>Video: ai dẫn (nhân viên bên chủ đầu tư, đồng ý xuất hiện), quay ngày nào, có sẵn clip lễ trao sổ và quảng trường buổi tối không?</t>
  </si>
  <si>
    <t>Quay thêm bản không có đoạn ưu đãi để dùng từ 01/11</t>
  </si>
  <si>
    <t>5</t>
  </si>
  <si>
    <t>Câu điều kiện 500 triệu ('trả trước 500 triệu khi ký, lô đến khoảng 1,3 tỷ, tức đợt đầu 40% giá lô; 4 đợt 15% trong 180 ngày, đợt cuối nhận sổ') đã đúng chưa? Còn bao nhiêu lô ≤ 1,3 tỷ đang mở bán?</t>
  </si>
  <si>
    <t>Ảnh chính sách ghi đợt đầu 40%: lô 1,3 tỷ là 520 triệu</t>
  </si>
  <si>
    <t>6</t>
  </si>
  <si>
    <t>Ưu đãi 2%/3% đã dùng bao nhiêu trong 15 suất mỗi loại? Quà xi măng, gạch có hạn ngày không? Sau 31/10 có chính sách mới không?</t>
  </si>
  <si>
    <t>Hết suất thì gỡ câu ưu đãi ngay</t>
  </si>
  <si>
    <t>7</t>
  </si>
  <si>
    <t>Số 0965 539 599 có người nghe giờ chạy quảng cáo không? Hay dùng số Phòng KD?</t>
  </si>
  <si>
    <t>Đổi số thì phải sửa hồ sơ dự án trước</t>
  </si>
  <si>
    <t>8</t>
  </si>
  <si>
    <t>Đồng ý dùng video 1:38 đang chạy làm mẫu 2 với chữ mới (sau khi soát lời nói), rồi tắt chiến dịch cũ?</t>
  </si>
  <si>
    <t>Chưa soát xong thì chỉ chạy mẫu 1</t>
  </si>
  <si>
    <t>9</t>
  </si>
  <si>
    <t>4 số từ 38 cuộc trò chuyện cũ: cho SĐT/Zalo · hẹn xem · đã xem · cọc?</t>
  </si>
  <si>
    <t>Đường nền để chấm quảng cáo mới</t>
  </si>
  <si>
    <t>10</t>
  </si>
  <si>
    <t>Ngân sách 300.000 đ/ngày (bằng hiện tại) có ổn không?</t>
  </si>
  <si>
    <t>Xem trang 'Ngan sach'</t>
  </si>
  <si>
    <t>ok</t>
  </si>
  <si>
    <t>Theo PA 1</t>
  </si>
  <si>
    <t>Giữ nguyên đang chay</t>
  </si>
  <si>
    <t>OK</t>
  </si>
  <si>
    <t>Video mới thi</t>
  </si>
  <si>
    <t>giữ nguyên và thêm thông tin: 
✅ Cư dân Bắc Ninh được ưu đãi 2%, khách thanh toán sớm được 3%, mỗi loại cho 15 khách đầu tiên đến 31/10/2026
✅Về ở sớm được tặng 30 tấn xi măng và 20 vạn gạch để khởi công.</t>
  </si>
  <si>
    <t>Bạn tự đề xuất, nên xin số luôn</t>
  </si>
  <si>
    <t>không 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</si>
</sst>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đ&quot;"/>
    <numFmt numFmtId="165" formatCode="dd/mm/yyyy"/>
    <numFmt numFmtId="166" formatCode="#,##0.0"/>
  </numFmts>
  <fonts count="7" x14ac:knownFonts="1">
    <font>
      <sz val="10"/>
      <name val="Arial"/>
    </font>
    <font>
      <b/>
      <sz val="10"/>
      <color rgb="FFFFFFFF"/>
      <name val="Arial"/>
    </font>
    <font>
      <b/>
      <sz val="10"/>
      <name val="Arial"/>
    </font>
    <font>
      <b/>
      <sz val="13"/>
      <name val="Arial"/>
    </font>
    <font>
      <i/>
      <sz val="10"/>
      <color rgb="FF595959"/>
      <name val="Arial"/>
    </font>
    <font>
      <sz val="10"/>
      <color rgb="FF0000FF"/>
      <name val="Arial"/>
    </font>
    <font>
      <i/>
      <sz val="10"/>
      <name val="Arial"/>
    </font>
  </fonts>
  <fills count="5">
    <fill>
      <patternFill patternType="none"/>
    </fill>
    <fill>
      <patternFill patternType="gray125"/>
    </fill>
    <fill>
      <patternFill patternType="solid">
        <fgColor rgb="FF1F4E78"/>
        <bgColor indexed="64"/>
      </patternFill>
    </fill>
    <fill>
      <patternFill patternType="solid">
        <fgColor rgb="FFFFFF00"/>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applyAlignment="1">
      <alignment vertical="top"/>
    </xf>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3" fillId="0" borderId="0" xfId="0" applyFont="1" applyAlignment="1">
      <alignment vertical="top"/>
    </xf>
    <xf numFmtId="0" fontId="4" fillId="0" borderId="0" xfId="0" applyFont="1" applyAlignment="1">
      <alignment vertical="top"/>
    </xf>
    <xf numFmtId="0" fontId="0" fillId="0" borderId="0" xfId="0" applyAlignment="1">
      <alignment vertical="top" wrapText="1"/>
    </xf>
    <xf numFmtId="0" fontId="0" fillId="3" borderId="0" xfId="0" applyFill="1" applyAlignment="1">
      <alignment vertical="top" wrapText="1"/>
    </xf>
    <xf numFmtId="165" fontId="5" fillId="3" borderId="1" xfId="0" applyNumberFormat="1" applyFont="1" applyFill="1" applyBorder="1" applyAlignment="1">
      <alignment vertical="top"/>
    </xf>
    <xf numFmtId="164" fontId="5" fillId="3" borderId="1" xfId="0" applyNumberFormat="1" applyFont="1" applyFill="1" applyBorder="1" applyAlignment="1">
      <alignment vertical="top"/>
    </xf>
    <xf numFmtId="9" fontId="5" fillId="3" borderId="1" xfId="0" applyNumberFormat="1" applyFont="1" applyFill="1" applyBorder="1" applyAlignment="1">
      <alignment vertical="top"/>
    </xf>
    <xf numFmtId="1" fontId="0" fillId="0" borderId="1" xfId="0" applyNumberFormat="1" applyBorder="1" applyAlignment="1">
      <alignment vertical="top"/>
    </xf>
    <xf numFmtId="164" fontId="0" fillId="0" borderId="1" xfId="0" applyNumberFormat="1" applyBorder="1" applyAlignment="1">
      <alignment vertical="top"/>
    </xf>
    <xf numFmtId="3" fontId="0" fillId="0" borderId="1" xfId="0" applyNumberFormat="1" applyBorder="1" applyAlignment="1">
      <alignment vertical="top"/>
    </xf>
    <xf numFmtId="10" fontId="0" fillId="0" borderId="1" xfId="0" applyNumberFormat="1" applyBorder="1" applyAlignment="1">
      <alignment vertical="top"/>
    </xf>
    <xf numFmtId="166" fontId="0" fillId="0" borderId="1" xfId="0" applyNumberFormat="1" applyBorder="1" applyAlignment="1">
      <alignment vertical="top"/>
    </xf>
    <xf numFmtId="0" fontId="2" fillId="0" borderId="0" xfId="0" applyFont="1" applyAlignment="1">
      <alignment vertical="top"/>
    </xf>
    <xf numFmtId="0" fontId="2" fillId="4" borderId="0" xfId="0" applyFont="1" applyFill="1" applyAlignment="1">
      <alignment vertical="top"/>
    </xf>
    <xf numFmtId="0" fontId="6" fillId="0" borderId="0" xfId="0" applyFon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heetViews>
  <sheetFormatPr defaultRowHeight="12.75" x14ac:dyDescent="0.2"/>
  <cols>
    <col min="1" max="1" width="120" customWidth="1"/>
  </cols>
  <sheetData>
    <row r="1" spans="1:1" ht="16.5" x14ac:dyDescent="0.2">
      <c r="A1" s="5" t="s">
        <v>0</v>
      </c>
    </row>
    <row r="3" spans="1:1" x14ac:dyDescent="0.2">
      <c r="A3" s="7" t="s">
        <v>1</v>
      </c>
    </row>
    <row r="4" spans="1:1" ht="25.5" x14ac:dyDescent="0.2">
      <c r="A4" s="8" t="s">
        <v>2</v>
      </c>
    </row>
    <row r="5" spans="1:1" x14ac:dyDescent="0.2">
      <c r="A5" s="7" t="s">
        <v>3</v>
      </c>
    </row>
    <row r="6" spans="1:1" x14ac:dyDescent="0.2">
      <c r="A6" s="7" t="s">
        <v>4</v>
      </c>
    </row>
    <row r="7" spans="1:1" ht="25.5" x14ac:dyDescent="0.2">
      <c r="A7" s="7" t="s">
        <v>5</v>
      </c>
    </row>
    <row r="8" spans="1:1" x14ac:dyDescent="0.2">
      <c r="A8" s="7" t="s">
        <v>6</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pane xSplit="1" ySplit="4" topLeftCell="B17" activePane="bottomRight" state="frozen"/>
      <selection pane="topRight"/>
      <selection pane="bottomLeft"/>
      <selection pane="bottomRight" activeCell="E4" sqref="A4:E24"/>
    </sheetView>
  </sheetViews>
  <sheetFormatPr defaultRowHeight="12.75" x14ac:dyDescent="0.2"/>
  <cols>
    <col min="1" max="1" width="22" customWidth="1"/>
    <col min="2" max="2" width="42" customWidth="1"/>
    <col min="3" max="3" width="48" customWidth="1"/>
    <col min="4" max="4" width="40" customWidth="1"/>
    <col min="5" max="5" width="36" customWidth="1"/>
  </cols>
  <sheetData>
    <row r="1" spans="1:5" ht="16.5" x14ac:dyDescent="0.2">
      <c r="A1" s="5" t="s">
        <v>7</v>
      </c>
    </row>
    <row r="2" spans="1:5" x14ac:dyDescent="0.2">
      <c r="A2" s="6" t="s">
        <v>8</v>
      </c>
    </row>
    <row r="4" spans="1:5" x14ac:dyDescent="0.2">
      <c r="A4" s="1" t="s">
        <v>9</v>
      </c>
      <c r="B4" s="1" t="s">
        <v>10</v>
      </c>
      <c r="C4" s="1" t="s">
        <v>11</v>
      </c>
      <c r="D4" s="1" t="s">
        <v>12</v>
      </c>
      <c r="E4" s="1" t="s">
        <v>13</v>
      </c>
    </row>
    <row r="5" spans="1:5" ht="25.5" x14ac:dyDescent="0.2">
      <c r="A5" s="3" t="s">
        <v>14</v>
      </c>
      <c r="B5" s="2" t="s">
        <v>15</v>
      </c>
      <c r="C5" s="2" t="s">
        <v>16</v>
      </c>
      <c r="D5" s="2" t="s">
        <v>17</v>
      </c>
      <c r="E5" s="4"/>
    </row>
    <row r="6" spans="1:5" ht="25.5" x14ac:dyDescent="0.2">
      <c r="A6" s="3" t="s">
        <v>18</v>
      </c>
      <c r="B6" s="2" t="s">
        <v>19</v>
      </c>
      <c r="C6" s="2" t="s">
        <v>20</v>
      </c>
      <c r="D6" s="2" t="s">
        <v>21</v>
      </c>
      <c r="E6" s="4" t="s">
        <v>253</v>
      </c>
    </row>
    <row r="7" spans="1:5" ht="25.5" x14ac:dyDescent="0.2">
      <c r="A7" s="3" t="s">
        <v>22</v>
      </c>
      <c r="B7" s="2" t="s">
        <v>23</v>
      </c>
      <c r="C7" s="2" t="s">
        <v>24</v>
      </c>
      <c r="D7" s="2" t="s">
        <v>25</v>
      </c>
      <c r="E7" s="2" t="s">
        <v>23</v>
      </c>
    </row>
    <row r="8" spans="1:5" x14ac:dyDescent="0.2">
      <c r="A8" s="3" t="s">
        <v>26</v>
      </c>
      <c r="B8" s="2" t="s">
        <v>27</v>
      </c>
      <c r="C8" s="2" t="s">
        <v>27</v>
      </c>
      <c r="D8" s="2" t="s">
        <v>28</v>
      </c>
      <c r="E8" s="4"/>
    </row>
    <row r="9" spans="1:5" x14ac:dyDescent="0.2">
      <c r="A9" s="3" t="s">
        <v>29</v>
      </c>
      <c r="B9" s="2" t="s">
        <v>30</v>
      </c>
      <c r="C9" s="2" t="s">
        <v>30</v>
      </c>
      <c r="D9" s="2" t="s">
        <v>31</v>
      </c>
      <c r="E9" s="4" t="s">
        <v>254</v>
      </c>
    </row>
    <row r="10" spans="1:5" ht="25.5" x14ac:dyDescent="0.2">
      <c r="A10" s="3" t="s">
        <v>32</v>
      </c>
      <c r="B10" s="2" t="s">
        <v>33</v>
      </c>
      <c r="C10" s="2" t="s">
        <v>34</v>
      </c>
      <c r="D10" s="2" t="s">
        <v>35</v>
      </c>
      <c r="E10" s="4" t="s">
        <v>255</v>
      </c>
    </row>
    <row r="11" spans="1:5" ht="38.25" x14ac:dyDescent="0.2">
      <c r="A11" s="3" t="s">
        <v>36</v>
      </c>
      <c r="B11" s="2" t="s">
        <v>37</v>
      </c>
      <c r="C11" s="2" t="s">
        <v>38</v>
      </c>
      <c r="D11" s="2" t="s">
        <v>39</v>
      </c>
      <c r="E11" s="4" t="s">
        <v>256</v>
      </c>
    </row>
    <row r="12" spans="1:5" ht="25.5" x14ac:dyDescent="0.2">
      <c r="A12" s="3" t="s">
        <v>40</v>
      </c>
      <c r="B12" s="2" t="s">
        <v>41</v>
      </c>
      <c r="C12" s="2" t="s">
        <v>20</v>
      </c>
      <c r="D12" s="2" t="s">
        <v>42</v>
      </c>
      <c r="E12" s="4" t="s">
        <v>256</v>
      </c>
    </row>
    <row r="13" spans="1:5" x14ac:dyDescent="0.2">
      <c r="A13" s="3" t="s">
        <v>43</v>
      </c>
      <c r="B13" s="2" t="s">
        <v>44</v>
      </c>
      <c r="C13" s="2" t="s">
        <v>45</v>
      </c>
      <c r="D13" s="2" t="s">
        <v>46</v>
      </c>
      <c r="E13" s="4" t="s">
        <v>256</v>
      </c>
    </row>
    <row r="14" spans="1:5" ht="25.5" x14ac:dyDescent="0.2">
      <c r="A14" s="3" t="s">
        <v>47</v>
      </c>
      <c r="B14" s="2" t="s">
        <v>48</v>
      </c>
      <c r="C14" s="2" t="s">
        <v>49</v>
      </c>
      <c r="D14" s="2" t="s">
        <v>20</v>
      </c>
      <c r="E14" s="4" t="s">
        <v>256</v>
      </c>
    </row>
    <row r="15" spans="1:5" ht="25.5" x14ac:dyDescent="0.2">
      <c r="A15" s="3" t="s">
        <v>50</v>
      </c>
      <c r="B15" s="2" t="s">
        <v>51</v>
      </c>
      <c r="C15" s="2" t="s">
        <v>52</v>
      </c>
      <c r="D15" s="2" t="s">
        <v>53</v>
      </c>
      <c r="E15" s="4" t="s">
        <v>257</v>
      </c>
    </row>
    <row r="16" spans="1:5" ht="38.25" x14ac:dyDescent="0.2">
      <c r="A16" s="3" t="s">
        <v>54</v>
      </c>
      <c r="B16" s="2" t="s">
        <v>55</v>
      </c>
      <c r="C16" s="2" t="s">
        <v>56</v>
      </c>
      <c r="D16" s="2" t="s">
        <v>57</v>
      </c>
      <c r="E16" s="4" t="s">
        <v>255</v>
      </c>
    </row>
    <row r="17" spans="1:5" ht="89.25" x14ac:dyDescent="0.2">
      <c r="A17" s="3" t="s">
        <v>58</v>
      </c>
      <c r="B17" s="2" t="s">
        <v>59</v>
      </c>
      <c r="C17" s="2" t="s">
        <v>60</v>
      </c>
      <c r="D17" s="2" t="s">
        <v>61</v>
      </c>
      <c r="E17" s="4" t="s">
        <v>258</v>
      </c>
    </row>
    <row r="18" spans="1:5" ht="38.25" x14ac:dyDescent="0.2">
      <c r="A18" s="3" t="s">
        <v>62</v>
      </c>
      <c r="B18" s="2" t="s">
        <v>63</v>
      </c>
      <c r="C18" s="2" t="s">
        <v>64</v>
      </c>
      <c r="D18" s="2" t="s">
        <v>65</v>
      </c>
      <c r="E18" s="2" t="s">
        <v>63</v>
      </c>
    </row>
    <row r="19" spans="1:5" x14ac:dyDescent="0.2">
      <c r="A19" s="3" t="s">
        <v>66</v>
      </c>
      <c r="B19" s="2" t="s">
        <v>67</v>
      </c>
      <c r="C19" s="2" t="s">
        <v>68</v>
      </c>
      <c r="D19" s="2" t="s">
        <v>69</v>
      </c>
      <c r="E19" s="2" t="s">
        <v>67</v>
      </c>
    </row>
    <row r="20" spans="1:5" ht="25.5" x14ac:dyDescent="0.2">
      <c r="A20" s="3" t="s">
        <v>70</v>
      </c>
      <c r="B20" s="2" t="s">
        <v>71</v>
      </c>
      <c r="C20" s="2" t="s">
        <v>72</v>
      </c>
      <c r="D20" s="2" t="s">
        <v>73</v>
      </c>
      <c r="E20" s="4" t="s">
        <v>259</v>
      </c>
    </row>
    <row r="21" spans="1:5" ht="25.5" x14ac:dyDescent="0.2">
      <c r="A21" s="3" t="s">
        <v>74</v>
      </c>
      <c r="B21" s="2" t="s">
        <v>75</v>
      </c>
      <c r="C21" s="2" t="s">
        <v>76</v>
      </c>
      <c r="D21" s="2" t="s">
        <v>77</v>
      </c>
      <c r="E21" s="2" t="s">
        <v>76</v>
      </c>
    </row>
    <row r="22" spans="1:5" ht="25.5" x14ac:dyDescent="0.2">
      <c r="A22" s="3" t="s">
        <v>78</v>
      </c>
      <c r="B22" s="2" t="s">
        <v>79</v>
      </c>
      <c r="C22" s="2" t="s">
        <v>80</v>
      </c>
      <c r="D22" s="2" t="s">
        <v>81</v>
      </c>
      <c r="E22" s="2" t="s">
        <v>80</v>
      </c>
    </row>
    <row r="23" spans="1:5" x14ac:dyDescent="0.2">
      <c r="A23" s="3" t="s">
        <v>82</v>
      </c>
      <c r="B23" s="2" t="s">
        <v>83</v>
      </c>
      <c r="C23" s="2" t="s">
        <v>84</v>
      </c>
      <c r="D23" s="2"/>
      <c r="E23" s="4" t="s">
        <v>260</v>
      </c>
    </row>
    <row r="24" spans="1:5" ht="25.5" x14ac:dyDescent="0.2">
      <c r="A24" s="3" t="s">
        <v>85</v>
      </c>
      <c r="B24" s="2" t="s">
        <v>86</v>
      </c>
      <c r="C24" s="2" t="s">
        <v>87</v>
      </c>
      <c r="D24" s="2"/>
      <c r="E24" s="4"/>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abSelected="1" workbookViewId="0">
      <pane xSplit="1" ySplit="4" topLeftCell="B5" activePane="bottomRight" state="frozen"/>
      <selection pane="topRight"/>
      <selection pane="bottomLeft"/>
      <selection pane="bottomRight" activeCell="B13" sqref="B13"/>
    </sheetView>
  </sheetViews>
  <sheetFormatPr defaultRowHeight="12.75" x14ac:dyDescent="0.2"/>
  <cols>
    <col min="1" max="1" width="20" customWidth="1"/>
    <col min="2" max="2" width="40" customWidth="1"/>
    <col min="3" max="3" width="44" customWidth="1"/>
    <col min="4" max="4" width="36" customWidth="1"/>
    <col min="5" max="5" width="32" customWidth="1"/>
  </cols>
  <sheetData>
    <row r="1" spans="1:5" ht="16.5" x14ac:dyDescent="0.2">
      <c r="A1" s="5" t="s">
        <v>88</v>
      </c>
    </row>
    <row r="2" spans="1:5" x14ac:dyDescent="0.2">
      <c r="A2" s="6" t="s">
        <v>89</v>
      </c>
    </row>
    <row r="4" spans="1:5" x14ac:dyDescent="0.2">
      <c r="A4" s="1" t="s">
        <v>9</v>
      </c>
      <c r="B4" s="1" t="s">
        <v>90</v>
      </c>
      <c r="C4" s="1" t="s">
        <v>91</v>
      </c>
      <c r="D4" s="1" t="s">
        <v>92</v>
      </c>
      <c r="E4" s="1" t="s">
        <v>93</v>
      </c>
    </row>
    <row r="5" spans="1:5" x14ac:dyDescent="0.2">
      <c r="A5" s="3" t="s">
        <v>94</v>
      </c>
      <c r="B5" s="2" t="s">
        <v>95</v>
      </c>
      <c r="C5" s="2" t="s">
        <v>96</v>
      </c>
      <c r="D5" s="2" t="s">
        <v>97</v>
      </c>
      <c r="E5" s="4"/>
    </row>
    <row r="6" spans="1:5" x14ac:dyDescent="0.2">
      <c r="A6" s="3" t="s">
        <v>98</v>
      </c>
      <c r="B6" s="2" t="s">
        <v>99</v>
      </c>
      <c r="C6" s="2" t="s">
        <v>100</v>
      </c>
      <c r="D6" s="2" t="s">
        <v>101</v>
      </c>
      <c r="E6" s="4"/>
    </row>
    <row r="7" spans="1:5" ht="25.5" x14ac:dyDescent="0.2">
      <c r="A7" s="3" t="s">
        <v>102</v>
      </c>
      <c r="B7" s="2" t="s">
        <v>103</v>
      </c>
      <c r="C7" s="2" t="s">
        <v>104</v>
      </c>
      <c r="D7" s="2" t="s">
        <v>105</v>
      </c>
      <c r="E7" s="4"/>
    </row>
    <row r="8" spans="1:5" x14ac:dyDescent="0.2">
      <c r="A8" s="3" t="s">
        <v>106</v>
      </c>
      <c r="B8" s="2" t="s">
        <v>107</v>
      </c>
      <c r="C8" s="2" t="s">
        <v>108</v>
      </c>
      <c r="D8" s="2" t="s">
        <v>109</v>
      </c>
      <c r="E8" s="4"/>
    </row>
    <row r="9" spans="1:5" ht="25.5" x14ac:dyDescent="0.2">
      <c r="A9" s="3" t="s">
        <v>110</v>
      </c>
      <c r="B9" s="2" t="s">
        <v>111</v>
      </c>
      <c r="C9" s="2" t="s">
        <v>112</v>
      </c>
      <c r="D9" s="2" t="s">
        <v>97</v>
      </c>
      <c r="E9" s="4"/>
    </row>
    <row r="10" spans="1:5" x14ac:dyDescent="0.2">
      <c r="A10" s="3" t="s">
        <v>113</v>
      </c>
      <c r="B10" s="2" t="s">
        <v>114</v>
      </c>
      <c r="C10" s="2" t="s">
        <v>115</v>
      </c>
      <c r="D10" s="2" t="s">
        <v>116</v>
      </c>
      <c r="E10" s="4"/>
    </row>
    <row r="11" spans="1:5" ht="25.5" x14ac:dyDescent="0.2">
      <c r="A11" s="3" t="s">
        <v>117</v>
      </c>
      <c r="B11" s="2" t="s">
        <v>97</v>
      </c>
      <c r="C11" s="2" t="s">
        <v>118</v>
      </c>
      <c r="D11" s="2" t="s">
        <v>119</v>
      </c>
      <c r="E11" s="4"/>
    </row>
    <row r="12" spans="1:5" x14ac:dyDescent="0.2">
      <c r="A12" s="3" t="s">
        <v>120</v>
      </c>
      <c r="B12" s="2" t="s">
        <v>121</v>
      </c>
      <c r="C12" s="2" t="s">
        <v>122</v>
      </c>
      <c r="D12" s="2" t="s">
        <v>123</v>
      </c>
      <c r="E12" s="4"/>
    </row>
    <row r="13" spans="1:5" x14ac:dyDescent="0.2">
      <c r="A13" s="3" t="s">
        <v>124</v>
      </c>
      <c r="B13" s="2" t="s">
        <v>125</v>
      </c>
      <c r="C13" s="2" t="s">
        <v>126</v>
      </c>
      <c r="D13" s="2"/>
      <c r="E13" s="4"/>
    </row>
  </sheetData>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
  <sheetViews>
    <sheetView workbookViewId="0"/>
  </sheetViews>
  <sheetFormatPr defaultRowHeight="12.75" x14ac:dyDescent="0.2"/>
  <cols>
    <col min="1" max="1" width="44" customWidth="1"/>
    <col min="2" max="2" width="20" customWidth="1"/>
    <col min="3" max="3" width="70" customWidth="1"/>
  </cols>
  <sheetData>
    <row r="1" spans="1:3" ht="16.5" x14ac:dyDescent="0.2">
      <c r="A1" s="5" t="s">
        <v>127</v>
      </c>
    </row>
    <row r="4" spans="1:3" x14ac:dyDescent="0.2">
      <c r="A4" s="17" t="s">
        <v>128</v>
      </c>
      <c r="B4" s="9">
        <v>46319</v>
      </c>
      <c r="C4" s="6" t="s">
        <v>129</v>
      </c>
    </row>
    <row r="5" spans="1:3" x14ac:dyDescent="0.2">
      <c r="A5" s="17" t="s">
        <v>130</v>
      </c>
      <c r="B5" s="9">
        <v>46326</v>
      </c>
      <c r="C5" s="6" t="s">
        <v>131</v>
      </c>
    </row>
    <row r="6" spans="1:3" x14ac:dyDescent="0.2">
      <c r="A6" s="17" t="s">
        <v>132</v>
      </c>
      <c r="B6" s="10">
        <v>300000</v>
      </c>
      <c r="C6" s="6" t="s">
        <v>133</v>
      </c>
    </row>
    <row r="7" spans="1:3" x14ac:dyDescent="0.2">
      <c r="A7" s="17" t="s">
        <v>134</v>
      </c>
      <c r="B7" s="11">
        <v>0.1</v>
      </c>
      <c r="C7" s="6" t="s">
        <v>135</v>
      </c>
    </row>
    <row r="8" spans="1:3" x14ac:dyDescent="0.2">
      <c r="A8" s="17" t="s">
        <v>136</v>
      </c>
      <c r="B8" s="10">
        <v>27066</v>
      </c>
      <c r="C8" s="6" t="s">
        <v>137</v>
      </c>
    </row>
    <row r="9" spans="1:3" x14ac:dyDescent="0.2">
      <c r="A9" s="17" t="s">
        <v>138</v>
      </c>
      <c r="B9" s="10">
        <v>1200000</v>
      </c>
      <c r="C9" s="6" t="s">
        <v>139</v>
      </c>
    </row>
    <row r="11" spans="1:3" x14ac:dyDescent="0.2">
      <c r="A11" s="18" t="s">
        <v>140</v>
      </c>
    </row>
    <row r="12" spans="1:3" x14ac:dyDescent="0.2">
      <c r="A12" t="s">
        <v>141</v>
      </c>
      <c r="B12" s="12">
        <f>B5-B4+1</f>
        <v>8</v>
      </c>
    </row>
    <row r="13" spans="1:3" x14ac:dyDescent="0.2">
      <c r="A13" t="s">
        <v>142</v>
      </c>
      <c r="B13" s="13">
        <f>B6*B12</f>
        <v>2400000</v>
      </c>
    </row>
    <row r="14" spans="1:3" x14ac:dyDescent="0.2">
      <c r="A14" t="s">
        <v>143</v>
      </c>
      <c r="B14" s="13">
        <f>B13*B7</f>
        <v>240000</v>
      </c>
    </row>
    <row r="15" spans="1:3" x14ac:dyDescent="0.2">
      <c r="A15" t="s">
        <v>144</v>
      </c>
      <c r="B15" s="13">
        <f>B13+B14</f>
        <v>2640000</v>
      </c>
    </row>
    <row r="16" spans="1:3" x14ac:dyDescent="0.2">
      <c r="A16" t="s">
        <v>145</v>
      </c>
      <c r="B16" s="14">
        <f>IFERROR(B13/B8,0)</f>
        <v>88.672134781644871</v>
      </c>
    </row>
    <row r="17" spans="1:2" x14ac:dyDescent="0.2">
      <c r="A17" t="s">
        <v>146</v>
      </c>
      <c r="B17" s="15">
        <f>IFERROR(B8/B9,0)</f>
        <v>2.2554999999999999E-2</v>
      </c>
    </row>
    <row r="18" spans="1:2" x14ac:dyDescent="0.2">
      <c r="A18" t="s">
        <v>147</v>
      </c>
      <c r="B18" s="14">
        <f>IFERROR(1/B17,0)</f>
        <v>44.336067390822436</v>
      </c>
    </row>
    <row r="19" spans="1:2" x14ac:dyDescent="0.2">
      <c r="A19" t="s">
        <v>148</v>
      </c>
      <c r="B19" s="16">
        <f>B16*B17</f>
        <v>2</v>
      </c>
    </row>
    <row r="21" spans="1:2" x14ac:dyDescent="0.2">
      <c r="A21" s="6" t="s">
        <v>149</v>
      </c>
    </row>
  </sheetData>
  <pageMargins left="0.5" right="0.5"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pane xSplit="1" ySplit="4" topLeftCell="B5" activePane="bottomRight" state="frozen"/>
      <selection pane="topRight"/>
      <selection pane="bottomLeft"/>
      <selection pane="bottomRight" activeCell="B5" sqref="B5"/>
    </sheetView>
  </sheetViews>
  <sheetFormatPr defaultRowHeight="12.75" x14ac:dyDescent="0.2"/>
  <cols>
    <col min="1" max="1" width="24" customWidth="1"/>
    <col min="2" max="2" width="110" customWidth="1"/>
    <col min="3" max="4" width="40" customWidth="1"/>
    <col min="5" max="5" width="30" customWidth="1"/>
  </cols>
  <sheetData>
    <row r="1" spans="1:3" ht="16.5" x14ac:dyDescent="0.2">
      <c r="A1" s="5" t="s">
        <v>150</v>
      </c>
    </row>
    <row r="2" spans="1:3" x14ac:dyDescent="0.2">
      <c r="A2" s="6" t="s">
        <v>151</v>
      </c>
    </row>
    <row r="4" spans="1:3" x14ac:dyDescent="0.2">
      <c r="A4" s="1" t="s">
        <v>152</v>
      </c>
      <c r="B4" s="1" t="s">
        <v>153</v>
      </c>
      <c r="C4" s="1" t="s">
        <v>154</v>
      </c>
    </row>
    <row r="5" spans="1:3" ht="25.5" x14ac:dyDescent="0.2">
      <c r="A5" s="3" t="s">
        <v>155</v>
      </c>
      <c r="B5" s="2" t="s">
        <v>156</v>
      </c>
      <c r="C5" s="4"/>
    </row>
    <row r="6" spans="1:3" x14ac:dyDescent="0.2">
      <c r="A6" s="3" t="s">
        <v>157</v>
      </c>
      <c r="B6" s="2" t="s">
        <v>158</v>
      </c>
      <c r="C6" s="4"/>
    </row>
    <row r="7" spans="1:3" x14ac:dyDescent="0.2">
      <c r="A7" s="3" t="s">
        <v>159</v>
      </c>
      <c r="B7" s="2" t="s">
        <v>160</v>
      </c>
      <c r="C7" s="4"/>
    </row>
    <row r="8" spans="1:3" x14ac:dyDescent="0.2">
      <c r="A8" s="3" t="s">
        <v>161</v>
      </c>
      <c r="B8" s="2" t="s">
        <v>162</v>
      </c>
      <c r="C8" s="4"/>
    </row>
    <row r="9" spans="1:3" x14ac:dyDescent="0.2">
      <c r="A9" s="3" t="s">
        <v>163</v>
      </c>
      <c r="B9" s="2" t="s">
        <v>164</v>
      </c>
      <c r="C9" s="4"/>
    </row>
    <row r="10" spans="1:3" x14ac:dyDescent="0.2">
      <c r="A10" s="3" t="s">
        <v>165</v>
      </c>
      <c r="B10" s="2" t="s">
        <v>166</v>
      </c>
      <c r="C10" s="4"/>
    </row>
    <row r="11" spans="1:3" ht="25.5" x14ac:dyDescent="0.2">
      <c r="A11" s="3" t="s">
        <v>167</v>
      </c>
      <c r="B11" s="2" t="s">
        <v>168</v>
      </c>
      <c r="C11" s="4"/>
    </row>
    <row r="12" spans="1:3" x14ac:dyDescent="0.2">
      <c r="A12" s="3" t="s">
        <v>169</v>
      </c>
      <c r="B12" s="2" t="s">
        <v>170</v>
      </c>
      <c r="C12" s="4"/>
    </row>
    <row r="13" spans="1:3" ht="25.5" x14ac:dyDescent="0.2">
      <c r="A13" s="3" t="s">
        <v>171</v>
      </c>
      <c r="B13" s="2" t="s">
        <v>172</v>
      </c>
      <c r="C13" s="4"/>
    </row>
    <row r="14" spans="1:3" x14ac:dyDescent="0.2">
      <c r="A14" s="3" t="s">
        <v>173</v>
      </c>
      <c r="B14" s="2" t="s">
        <v>174</v>
      </c>
      <c r="C14" s="4"/>
    </row>
    <row r="15" spans="1:3" x14ac:dyDescent="0.2">
      <c r="A15" s="3" t="s">
        <v>66</v>
      </c>
      <c r="B15" s="2" t="s">
        <v>68</v>
      </c>
      <c r="C15" s="4"/>
    </row>
    <row r="16" spans="1:3" x14ac:dyDescent="0.2">
      <c r="A16" s="3" t="s">
        <v>175</v>
      </c>
      <c r="B16" s="2" t="s">
        <v>176</v>
      </c>
      <c r="C16" s="4"/>
    </row>
    <row r="17" spans="1:5" x14ac:dyDescent="0.2">
      <c r="A17" s="3" t="s">
        <v>177</v>
      </c>
      <c r="B17" s="2" t="s">
        <v>178</v>
      </c>
      <c r="C17" s="4"/>
    </row>
    <row r="18" spans="1:5" x14ac:dyDescent="0.2">
      <c r="A18" s="3" t="s">
        <v>179</v>
      </c>
      <c r="B18" s="2" t="s">
        <v>180</v>
      </c>
      <c r="C18" s="4"/>
    </row>
    <row r="19" spans="1:5" ht="25.5" x14ac:dyDescent="0.2">
      <c r="A19" s="3" t="s">
        <v>181</v>
      </c>
      <c r="B19" s="2" t="s">
        <v>182</v>
      </c>
      <c r="C19" s="4"/>
    </row>
    <row r="21" spans="1:5" x14ac:dyDescent="0.2">
      <c r="A21" s="17" t="s">
        <v>183</v>
      </c>
    </row>
    <row r="22" spans="1:5" x14ac:dyDescent="0.2">
      <c r="A22" s="1" t="s">
        <v>184</v>
      </c>
      <c r="B22" s="1" t="s">
        <v>185</v>
      </c>
      <c r="C22" s="1" t="s">
        <v>186</v>
      </c>
      <c r="D22" s="1" t="s">
        <v>187</v>
      </c>
      <c r="E22" s="1" t="s">
        <v>154</v>
      </c>
    </row>
    <row r="23" spans="1:5" ht="25.5" x14ac:dyDescent="0.2">
      <c r="A23" s="3" t="s">
        <v>188</v>
      </c>
      <c r="B23" s="2" t="s">
        <v>189</v>
      </c>
      <c r="C23" s="2" t="s">
        <v>190</v>
      </c>
      <c r="D23" s="2" t="s">
        <v>191</v>
      </c>
      <c r="E23" s="4"/>
    </row>
    <row r="24" spans="1:5" ht="51" x14ac:dyDescent="0.2">
      <c r="A24" s="3" t="s">
        <v>192</v>
      </c>
      <c r="B24" s="2" t="s">
        <v>193</v>
      </c>
      <c r="C24" s="2" t="s">
        <v>194</v>
      </c>
      <c r="D24" s="2" t="s">
        <v>195</v>
      </c>
      <c r="E24" s="4"/>
    </row>
    <row r="25" spans="1:5" ht="25.5" x14ac:dyDescent="0.2">
      <c r="A25" s="3" t="s">
        <v>196</v>
      </c>
      <c r="B25" s="2" t="s">
        <v>197</v>
      </c>
      <c r="C25" s="2" t="s">
        <v>198</v>
      </c>
      <c r="D25" s="2" t="s">
        <v>199</v>
      </c>
      <c r="E25" s="4"/>
    </row>
    <row r="26" spans="1:5" ht="63.75" x14ac:dyDescent="0.2">
      <c r="A26" s="3" t="s">
        <v>200</v>
      </c>
      <c r="B26" s="2" t="s">
        <v>201</v>
      </c>
      <c r="C26" s="2" t="s">
        <v>202</v>
      </c>
      <c r="D26" s="2" t="s">
        <v>203</v>
      </c>
      <c r="E26" s="4"/>
    </row>
    <row r="27" spans="1:5" ht="51" x14ac:dyDescent="0.2">
      <c r="A27" s="3" t="s">
        <v>204</v>
      </c>
      <c r="B27" s="2" t="s">
        <v>205</v>
      </c>
      <c r="C27" s="2" t="s">
        <v>206</v>
      </c>
      <c r="D27" s="2" t="s">
        <v>207</v>
      </c>
      <c r="E27" s="4"/>
    </row>
    <row r="28" spans="1:5" ht="38.25" x14ac:dyDescent="0.2">
      <c r="A28" s="3" t="s">
        <v>208</v>
      </c>
      <c r="B28" s="2" t="s">
        <v>209</v>
      </c>
      <c r="C28" s="2" t="s">
        <v>210</v>
      </c>
      <c r="D28" s="2" t="s">
        <v>211</v>
      </c>
      <c r="E28" s="4"/>
    </row>
    <row r="29" spans="1:5" ht="51" x14ac:dyDescent="0.2">
      <c r="A29" s="3" t="s">
        <v>212</v>
      </c>
      <c r="B29" s="2" t="s">
        <v>213</v>
      </c>
      <c r="C29" s="2" t="s">
        <v>97</v>
      </c>
      <c r="D29" s="2" t="s">
        <v>214</v>
      </c>
      <c r="E29" s="4"/>
    </row>
    <row r="31" spans="1:5" ht="45" customHeight="1" x14ac:dyDescent="0.2">
      <c r="A31" s="19" t="s">
        <v>215</v>
      </c>
      <c r="B31" s="20"/>
      <c r="C31" s="20"/>
      <c r="D31" s="20"/>
      <c r="E31" s="20"/>
    </row>
    <row r="32" spans="1:5" ht="45" customHeight="1" x14ac:dyDescent="0.2">
      <c r="A32" s="19" t="s">
        <v>216</v>
      </c>
      <c r="B32" s="20"/>
      <c r="C32" s="20"/>
      <c r="D32" s="20"/>
      <c r="E32" s="20"/>
    </row>
    <row r="33" spans="1:5" ht="45" customHeight="1" x14ac:dyDescent="0.2">
      <c r="A33" s="19" t="s">
        <v>217</v>
      </c>
      <c r="B33" s="20"/>
      <c r="C33" s="20"/>
      <c r="D33" s="20"/>
      <c r="E33" s="20"/>
    </row>
  </sheetData>
  <mergeCells count="3">
    <mergeCell ref="A31:E31"/>
    <mergeCell ref="A32:E32"/>
    <mergeCell ref="A33:E33"/>
  </mergeCells>
  <pageMargins left="0.5" right="0.5"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pane xSplit="1" ySplit="4" topLeftCell="B5" activePane="bottomRight" state="frozen"/>
      <selection pane="topRight"/>
      <selection pane="bottomLeft"/>
      <selection pane="bottomRight" activeCell="B5" sqref="B5"/>
    </sheetView>
  </sheetViews>
  <sheetFormatPr defaultRowHeight="12.75" x14ac:dyDescent="0.2"/>
  <cols>
    <col min="1" max="1" width="5" customWidth="1"/>
    <col min="2" max="2" width="80" customWidth="1"/>
    <col min="3" max="4" width="45" customWidth="1"/>
  </cols>
  <sheetData>
    <row r="1" spans="1:4" ht="16.5" x14ac:dyDescent="0.2">
      <c r="A1" s="5" t="s">
        <v>218</v>
      </c>
    </row>
    <row r="2" spans="1:4" x14ac:dyDescent="0.2">
      <c r="A2" s="6" t="s">
        <v>219</v>
      </c>
    </row>
    <row r="4" spans="1:4" x14ac:dyDescent="0.2">
      <c r="A4" s="1" t="s">
        <v>220</v>
      </c>
      <c r="B4" s="1" t="s">
        <v>221</v>
      </c>
      <c r="C4" s="1" t="s">
        <v>222</v>
      </c>
      <c r="D4" s="1" t="s">
        <v>223</v>
      </c>
    </row>
    <row r="5" spans="1:4" ht="25.5" x14ac:dyDescent="0.2">
      <c r="A5" s="3" t="s">
        <v>27</v>
      </c>
      <c r="B5" s="2" t="s">
        <v>224</v>
      </c>
      <c r="C5" s="4"/>
      <c r="D5" s="2" t="s">
        <v>225</v>
      </c>
    </row>
    <row r="6" spans="1:4" x14ac:dyDescent="0.2">
      <c r="A6" s="3" t="s">
        <v>226</v>
      </c>
      <c r="B6" s="2" t="s">
        <v>227</v>
      </c>
      <c r="C6" s="4"/>
      <c r="D6" s="2" t="s">
        <v>228</v>
      </c>
    </row>
    <row r="7" spans="1:4" x14ac:dyDescent="0.2">
      <c r="A7" s="3" t="s">
        <v>229</v>
      </c>
      <c r="B7" s="2" t="s">
        <v>230</v>
      </c>
      <c r="C7" s="4"/>
      <c r="D7" s="2" t="s">
        <v>231</v>
      </c>
    </row>
    <row r="8" spans="1:4" ht="25.5" x14ac:dyDescent="0.2">
      <c r="A8" s="3" t="s">
        <v>232</v>
      </c>
      <c r="B8" s="2" t="s">
        <v>233</v>
      </c>
      <c r="C8" s="4"/>
      <c r="D8" s="2" t="s">
        <v>234</v>
      </c>
    </row>
    <row r="9" spans="1:4" ht="38.25" x14ac:dyDescent="0.2">
      <c r="A9" s="3" t="s">
        <v>235</v>
      </c>
      <c r="B9" s="2" t="s">
        <v>236</v>
      </c>
      <c r="C9" s="4"/>
      <c r="D9" s="2" t="s">
        <v>237</v>
      </c>
    </row>
    <row r="10" spans="1:4" ht="25.5" x14ac:dyDescent="0.2">
      <c r="A10" s="3" t="s">
        <v>238</v>
      </c>
      <c r="B10" s="2" t="s">
        <v>239</v>
      </c>
      <c r="C10" s="4"/>
      <c r="D10" s="2" t="s">
        <v>240</v>
      </c>
    </row>
    <row r="11" spans="1:4" x14ac:dyDescent="0.2">
      <c r="A11" s="3" t="s">
        <v>241</v>
      </c>
      <c r="B11" s="2" t="s">
        <v>242</v>
      </c>
      <c r="C11" s="4"/>
      <c r="D11" s="2" t="s">
        <v>243</v>
      </c>
    </row>
    <row r="12" spans="1:4" ht="25.5" x14ac:dyDescent="0.2">
      <c r="A12" s="3" t="s">
        <v>244</v>
      </c>
      <c r="B12" s="2" t="s">
        <v>245</v>
      </c>
      <c r="C12" s="4"/>
      <c r="D12" s="2" t="s">
        <v>246</v>
      </c>
    </row>
    <row r="13" spans="1:4" x14ac:dyDescent="0.2">
      <c r="A13" s="3" t="s">
        <v>247</v>
      </c>
      <c r="B13" s="2" t="s">
        <v>248</v>
      </c>
      <c r="C13" s="4"/>
      <c r="D13" s="2" t="s">
        <v>249</v>
      </c>
    </row>
    <row r="14" spans="1:4" x14ac:dyDescent="0.2">
      <c r="A14" s="3" t="s">
        <v>250</v>
      </c>
      <c r="B14" s="2" t="s">
        <v>251</v>
      </c>
      <c r="C14" s="4"/>
      <c r="D14" s="2" t="s">
        <v>252</v>
      </c>
    </row>
  </sheetData>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Huong dan</vt:lpstr>
      <vt:lpstr>So sanh</vt:lpstr>
      <vt:lpstr>PA1 vs PA2</vt:lpstr>
      <vt:lpstr>Ngan sach</vt:lpstr>
      <vt:lpstr>Chu va video</vt:lpstr>
      <vt:lpstr>Cau hoi doi KD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2026-10-21T09:07:28Z</dcterms:modified>
</cp:coreProperties>
</file>