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Từng bài" sheetId="2" state="visible" r:id="rId2"/>
    <sheet name="Theo nhóm" sheetId="3" state="visible" r:id="rId3"/>
    <sheet name="Theo loại bài" sheetId="4" state="visible" r:id="rId4"/>
    <sheet name="Giải thíc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4"/>
    </font>
    <font>
      <name val="Arial"/>
      <i val="1"/>
      <color rgb="00667085"/>
      <sz val="9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center" wrapText="1"/>
    </xf>
    <xf numFmtId="3" fontId="2" fillId="0" borderId="0" applyAlignment="1" pivotButton="0" quotePrefix="0" xfId="0">
      <alignment vertical="top" wrapText="1"/>
    </xf>
    <xf numFmtId="9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ungBai" displayName="TungBai" ref="A1:P85" headerRowCount="1">
  <autoFilter ref="A1:P85"/>
  <tableColumns count="16">
    <tableColumn id="1" name="Ngày"/>
    <tableColumn id="2" name="Giờ"/>
    <tableColumn id="3" name="Dự án"/>
    <tableColumn id="4" name="Góc"/>
    <tableColumn id="5" name="Loại bài (góc)"/>
    <tableColumn id="6" name="Tiêu đề bài"/>
    <tableColumn id="7" name="Đối tượng"/>
    <tableColumn id="8" name="Mã khách báo"/>
    <tableColumn id="9" name="Nhóm"/>
    <tableColumn id="10" name="Loại nhóm"/>
    <tableColumn id="11" name="Thành viên"/>
    <tableColumn id="12" name="Ảnh/video"/>
    <tableColumn id="13" name="Có ảnh chính sách"/>
    <tableColumn id="14" name="Trạng thái"/>
    <tableColumn id="15" name="Mã bài"/>
    <tableColumn id="16" name="Mã nhóm"/>
  </tableColumns>
  <tableStyleInfo name="TableStyleLight9" showRowStripes="1"/>
</table>
</file>

<file path=xl/tables/table2.xml><?xml version="1.0" encoding="utf-8"?>
<table xmlns="http://schemas.openxmlformats.org/spreadsheetml/2006/main" id="2" name="TheoNhom" displayName="TheoNhom" ref="A1:K53" headerRowCount="1">
  <autoFilter ref="A1:K53"/>
  <tableColumns count="11">
    <tableColumn id="1" name="Mã nhóm"/>
    <tableColumn id="2" name="Nhóm"/>
    <tableColumn id="3" name="Loại nhóm"/>
    <tableColumn id="4" name="Thành viên"/>
    <tableColumn id="5" name="Số bài tuần này"/>
    <tableColumn id="6" name="Các lần đăng tuần này (ngày giờ · góc)"/>
    <tableColumn id="7" name="Trước 28/10: đã đăng"/>
    <tableColumn id="8" name="Trước 28/10: hiện ngay"/>
    <tableColumn id="9" name="Tỉ lệ hiện ngay"/>
    <tableColumn id="10" name="Bài cuối trước đây"/>
    <tableColumn id="11" name="Nhận xét"/>
  </tableColumns>
  <tableStyleInfo name="TableStyleLight9" showRowStripes="1"/>
</table>
</file>

<file path=xl/tables/table3.xml><?xml version="1.0" encoding="utf-8"?>
<table xmlns="http://schemas.openxmlformats.org/spreadsheetml/2006/main" id="3" name="TheoLoaiBai" displayName="TheoLoaiBai" ref="A1:F14" headerRowCount="1">
  <autoFilter ref="A1:F14"/>
  <tableColumns count="6">
    <tableColumn id="1" name="Góc"/>
    <tableColumn id="2" name="Loại bài (góc)"/>
    <tableColumn id="3" name="Vì sao dùng góc này"/>
    <tableColumn id="4" name="Số bài tuần này"/>
    <tableColumn id="5" name="Đăng vào loại nhóm nào"/>
    <tableColumn id="6" name="Ví dụ tiêu đề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>
      <c r="A1" s="1" t="inlineStr">
        <is>
          <t>Lịch đăng bài nhóm Facebook · 28/10 – 03/11/2026 (nick David)</t>
        </is>
      </c>
    </row>
    <row r="2">
      <c r="A2" s="2" t="inlineStr">
        <is>
          <t>Số liệu đếm bằng công thức từ trang 'Từng bài'; trạng thái chốt lúc 28/10 14:00.</t>
        </is>
      </c>
    </row>
    <row r="4">
      <c r="A4" s="3" t="inlineStr">
        <is>
          <t>Theo ngày</t>
        </is>
      </c>
      <c r="B4" s="3" t="inlineStr">
        <is>
          <t>T4 28/10</t>
        </is>
      </c>
      <c r="C4" s="3" t="inlineStr">
        <is>
          <t>T5 29/10</t>
        </is>
      </c>
      <c r="D4" s="3" t="inlineStr">
        <is>
          <t>T6 30/10</t>
        </is>
      </c>
      <c r="E4" s="3" t="inlineStr">
        <is>
          <t>T7 31/10</t>
        </is>
      </c>
      <c r="F4" s="3" t="inlineStr">
        <is>
          <t>CN 01/11</t>
        </is>
      </c>
      <c r="G4" s="3" t="inlineStr">
        <is>
          <t>T2 02/11</t>
        </is>
      </c>
      <c r="H4" s="3" t="inlineStr">
        <is>
          <t>T3 03/11</t>
        </is>
      </c>
      <c r="I4" s="3" t="inlineStr">
        <is>
          <t>Cả tuần</t>
        </is>
      </c>
    </row>
    <row r="5">
      <c r="A5" s="4" t="inlineStr">
        <is>
          <t>Tổng số bài</t>
        </is>
      </c>
      <c r="B5" s="4">
        <f>COUNTIF('Từng bài'!$A$2:$A$85,B$4)</f>
        <v/>
      </c>
      <c r="C5" s="4">
        <f>COUNTIF('Từng bài'!$A$2:$A$85,C$4)</f>
        <v/>
      </c>
      <c r="D5" s="4">
        <f>COUNTIF('Từng bài'!$A$2:$A$85,D$4)</f>
        <v/>
      </c>
      <c r="E5" s="4">
        <f>COUNTIF('Từng bài'!$A$2:$A$85,E$4)</f>
        <v/>
      </c>
      <c r="F5" s="4">
        <f>COUNTIF('Từng bài'!$A$2:$A$85,F$4)</f>
        <v/>
      </c>
      <c r="G5" s="4">
        <f>COUNTIF('Từng bài'!$A$2:$A$85,G$4)</f>
        <v/>
      </c>
      <c r="H5" s="4">
        <f>COUNTIF('Từng bài'!$A$2:$A$85,H$4)</f>
        <v/>
      </c>
      <c r="I5" s="4">
        <f>SUM(B5:H5)</f>
        <v/>
      </c>
    </row>
    <row r="6">
      <c r="A6" s="5" t="inlineStr">
        <is>
          <t xml:space="preserve">  Dự án: Golden Hill</t>
        </is>
      </c>
      <c r="B6" s="5">
        <f>COUNTIFS('Từng bài'!$A$2:$A$85,B$4,'Từng bài'!$C$2:$C$85,"Golden Hill")</f>
        <v/>
      </c>
      <c r="C6" s="5">
        <f>COUNTIFS('Từng bài'!$A$2:$A$85,C$4,'Từng bài'!$C$2:$C$85,"Golden Hill")</f>
        <v/>
      </c>
      <c r="D6" s="5">
        <f>COUNTIFS('Từng bài'!$A$2:$A$85,D$4,'Từng bài'!$C$2:$C$85,"Golden Hill")</f>
        <v/>
      </c>
      <c r="E6" s="5">
        <f>COUNTIFS('Từng bài'!$A$2:$A$85,E$4,'Từng bài'!$C$2:$C$85,"Golden Hill")</f>
        <v/>
      </c>
      <c r="F6" s="5">
        <f>COUNTIFS('Từng bài'!$A$2:$A$85,F$4,'Từng bài'!$C$2:$C$85,"Golden Hill")</f>
        <v/>
      </c>
      <c r="G6" s="5">
        <f>COUNTIFS('Từng bài'!$A$2:$A$85,G$4,'Từng bài'!$C$2:$C$85,"Golden Hill")</f>
        <v/>
      </c>
      <c r="H6" s="5">
        <f>COUNTIFS('Từng bài'!$A$2:$A$85,H$4,'Từng bài'!$C$2:$C$85,"Golden Hill")</f>
        <v/>
      </c>
      <c r="I6" s="5">
        <f>SUM(B6:H6)</f>
        <v/>
      </c>
    </row>
    <row r="7">
      <c r="A7" s="5" t="inlineStr">
        <is>
          <t xml:space="preserve">  Dự án: Sun City (cho thuê)</t>
        </is>
      </c>
      <c r="B7" s="5">
        <f>COUNTIFS('Từng bài'!$A$2:$A$85,B$4,'Từng bài'!$C$2:$C$85,"Sun City (cho thuê)")</f>
        <v/>
      </c>
      <c r="C7" s="5">
        <f>COUNTIFS('Từng bài'!$A$2:$A$85,C$4,'Từng bài'!$C$2:$C$85,"Sun City (cho thuê)")</f>
        <v/>
      </c>
      <c r="D7" s="5">
        <f>COUNTIFS('Từng bài'!$A$2:$A$85,D$4,'Từng bài'!$C$2:$C$85,"Sun City (cho thuê)")</f>
        <v/>
      </c>
      <c r="E7" s="5">
        <f>COUNTIFS('Từng bài'!$A$2:$A$85,E$4,'Từng bài'!$C$2:$C$85,"Sun City (cho thuê)")</f>
        <v/>
      </c>
      <c r="F7" s="5">
        <f>COUNTIFS('Từng bài'!$A$2:$A$85,F$4,'Từng bài'!$C$2:$C$85,"Sun City (cho thuê)")</f>
        <v/>
      </c>
      <c r="G7" s="5">
        <f>COUNTIFS('Từng bài'!$A$2:$A$85,G$4,'Từng bài'!$C$2:$C$85,"Sun City (cho thuê)")</f>
        <v/>
      </c>
      <c r="H7" s="5">
        <f>COUNTIFS('Từng bài'!$A$2:$A$85,H$4,'Từng bài'!$C$2:$C$85,"Sun City (cho thuê)")</f>
        <v/>
      </c>
      <c r="I7" s="5">
        <f>SUM(B7:H7)</f>
        <v/>
      </c>
    </row>
    <row r="8">
      <c r="A8" s="5" t="inlineStr">
        <is>
          <t xml:space="preserve">  Nhóm: Nhà đất / BĐS</t>
        </is>
      </c>
      <c r="B8" s="5">
        <f>COUNTIFS('Từng bài'!$A$2:$A$85,B$4,'Từng bài'!$J$2:$J$85,"Nhà đất / BĐS")</f>
        <v/>
      </c>
      <c r="C8" s="5">
        <f>COUNTIFS('Từng bài'!$A$2:$A$85,C$4,'Từng bài'!$J$2:$J$85,"Nhà đất / BĐS")</f>
        <v/>
      </c>
      <c r="D8" s="5">
        <f>COUNTIFS('Từng bài'!$A$2:$A$85,D$4,'Từng bài'!$J$2:$J$85,"Nhà đất / BĐS")</f>
        <v/>
      </c>
      <c r="E8" s="5">
        <f>COUNTIFS('Từng bài'!$A$2:$A$85,E$4,'Từng bài'!$J$2:$J$85,"Nhà đất / BĐS")</f>
        <v/>
      </c>
      <c r="F8" s="5">
        <f>COUNTIFS('Từng bài'!$A$2:$A$85,F$4,'Từng bài'!$J$2:$J$85,"Nhà đất / BĐS")</f>
        <v/>
      </c>
      <c r="G8" s="5">
        <f>COUNTIFS('Từng bài'!$A$2:$A$85,G$4,'Từng bài'!$J$2:$J$85,"Nhà đất / BĐS")</f>
        <v/>
      </c>
      <c r="H8" s="5">
        <f>COUNTIFS('Từng bài'!$A$2:$A$85,H$4,'Từng bài'!$J$2:$J$85,"Nhà đất / BĐS")</f>
        <v/>
      </c>
      <c r="I8" s="5">
        <f>SUM(B8:H8)</f>
        <v/>
      </c>
    </row>
    <row r="9">
      <c r="A9" s="5" t="inlineStr">
        <is>
          <t xml:space="preserve">  Nhóm: Cộng đồng / hội</t>
        </is>
      </c>
      <c r="B9" s="5">
        <f>COUNTIFS('Từng bài'!$A$2:$A$85,B$4,'Từng bài'!$J$2:$J$85,"Cộng đồng / hội")</f>
        <v/>
      </c>
      <c r="C9" s="5">
        <f>COUNTIFS('Từng bài'!$A$2:$A$85,C$4,'Từng bài'!$J$2:$J$85,"Cộng đồng / hội")</f>
        <v/>
      </c>
      <c r="D9" s="5">
        <f>COUNTIFS('Từng bài'!$A$2:$A$85,D$4,'Từng bài'!$J$2:$J$85,"Cộng đồng / hội")</f>
        <v/>
      </c>
      <c r="E9" s="5">
        <f>COUNTIFS('Từng bài'!$A$2:$A$85,E$4,'Từng bài'!$J$2:$J$85,"Cộng đồng / hội")</f>
        <v/>
      </c>
      <c r="F9" s="5">
        <f>COUNTIFS('Từng bài'!$A$2:$A$85,F$4,'Từng bài'!$J$2:$J$85,"Cộng đồng / hội")</f>
        <v/>
      </c>
      <c r="G9" s="5">
        <f>COUNTIFS('Từng bài'!$A$2:$A$85,G$4,'Từng bài'!$J$2:$J$85,"Cộng đồng / hội")</f>
        <v/>
      </c>
      <c r="H9" s="5">
        <f>COUNTIFS('Từng bài'!$A$2:$A$85,H$4,'Từng bài'!$J$2:$J$85,"Cộng đồng / hội")</f>
        <v/>
      </c>
      <c r="I9" s="5">
        <f>SUM(B9:H9)</f>
        <v/>
      </c>
    </row>
    <row r="10">
      <c r="A10" s="5" t="inlineStr">
        <is>
          <t xml:space="preserve">  Nhóm: KCN / nhà trọ</t>
        </is>
      </c>
      <c r="B10" s="5">
        <f>COUNTIFS('Từng bài'!$A$2:$A$85,B$4,'Từng bài'!$J$2:$J$85,"KCN / nhà trọ")</f>
        <v/>
      </c>
      <c r="C10" s="5">
        <f>COUNTIFS('Từng bài'!$A$2:$A$85,C$4,'Từng bài'!$J$2:$J$85,"KCN / nhà trọ")</f>
        <v/>
      </c>
      <c r="D10" s="5">
        <f>COUNTIFS('Từng bài'!$A$2:$A$85,D$4,'Từng bài'!$J$2:$J$85,"KCN / nhà trọ")</f>
        <v/>
      </c>
      <c r="E10" s="5">
        <f>COUNTIFS('Từng bài'!$A$2:$A$85,E$4,'Từng bài'!$J$2:$J$85,"KCN / nhà trọ")</f>
        <v/>
      </c>
      <c r="F10" s="5">
        <f>COUNTIFS('Từng bài'!$A$2:$A$85,F$4,'Từng bài'!$J$2:$J$85,"KCN / nhà trọ")</f>
        <v/>
      </c>
      <c r="G10" s="5">
        <f>COUNTIFS('Từng bài'!$A$2:$A$85,G$4,'Từng bài'!$J$2:$J$85,"KCN / nhà trọ")</f>
        <v/>
      </c>
      <c r="H10" s="5">
        <f>COUNTIFS('Từng bài'!$A$2:$A$85,H$4,'Từng bài'!$J$2:$J$85,"KCN / nhà trọ")</f>
        <v/>
      </c>
      <c r="I10" s="5">
        <f>SUM(B10:H10)</f>
        <v/>
      </c>
    </row>
    <row r="11">
      <c r="A11" s="5" t="inlineStr">
        <is>
          <t xml:space="preserve">  Nhóm: Chợ địa phương</t>
        </is>
      </c>
      <c r="B11" s="5">
        <f>COUNTIFS('Từng bài'!$A$2:$A$85,B$4,'Từng bài'!$J$2:$J$85,"Chợ địa phương")</f>
        <v/>
      </c>
      <c r="C11" s="5">
        <f>COUNTIFS('Từng bài'!$A$2:$A$85,C$4,'Từng bài'!$J$2:$J$85,"Chợ địa phương")</f>
        <v/>
      </c>
      <c r="D11" s="5">
        <f>COUNTIFS('Từng bài'!$A$2:$A$85,D$4,'Từng bài'!$J$2:$J$85,"Chợ địa phương")</f>
        <v/>
      </c>
      <c r="E11" s="5">
        <f>COUNTIFS('Từng bài'!$A$2:$A$85,E$4,'Từng bài'!$J$2:$J$85,"Chợ địa phương")</f>
        <v/>
      </c>
      <c r="F11" s="5">
        <f>COUNTIFS('Từng bài'!$A$2:$A$85,F$4,'Từng bài'!$J$2:$J$85,"Chợ địa phương")</f>
        <v/>
      </c>
      <c r="G11" s="5">
        <f>COUNTIFS('Từng bài'!$A$2:$A$85,G$4,'Từng bài'!$J$2:$J$85,"Chợ địa phương")</f>
        <v/>
      </c>
      <c r="H11" s="5">
        <f>COUNTIFS('Từng bài'!$A$2:$A$85,H$4,'Từng bài'!$J$2:$J$85,"Chợ địa phương")</f>
        <v/>
      </c>
      <c r="I11" s="5">
        <f>SUM(B11:H11)</f>
        <v/>
      </c>
    </row>
    <row r="12">
      <c r="A12" s="5" t="inlineStr">
        <is>
          <t xml:space="preserve">  Dạng: 3 ảnh</t>
        </is>
      </c>
      <c r="B12" s="5">
        <f>COUNTIFS('Từng bài'!$A$2:$A$85,B$4,'Từng bài'!$L$2:$L$85,"3 ảnh")</f>
        <v/>
      </c>
      <c r="C12" s="5">
        <f>COUNTIFS('Từng bài'!$A$2:$A$85,C$4,'Từng bài'!$L$2:$L$85,"3 ảnh")</f>
        <v/>
      </c>
      <c r="D12" s="5">
        <f>COUNTIFS('Từng bài'!$A$2:$A$85,D$4,'Từng bài'!$L$2:$L$85,"3 ảnh")</f>
        <v/>
      </c>
      <c r="E12" s="5">
        <f>COUNTIFS('Từng bài'!$A$2:$A$85,E$4,'Từng bài'!$L$2:$L$85,"3 ảnh")</f>
        <v/>
      </c>
      <c r="F12" s="5">
        <f>COUNTIFS('Từng bài'!$A$2:$A$85,F$4,'Từng bài'!$L$2:$L$85,"3 ảnh")</f>
        <v/>
      </c>
      <c r="G12" s="5">
        <f>COUNTIFS('Từng bài'!$A$2:$A$85,G$4,'Từng bài'!$L$2:$L$85,"3 ảnh")</f>
        <v/>
      </c>
      <c r="H12" s="5">
        <f>COUNTIFS('Từng bài'!$A$2:$A$85,H$4,'Từng bài'!$L$2:$L$85,"3 ảnh")</f>
        <v/>
      </c>
      <c r="I12" s="5">
        <f>SUM(B12:H12)</f>
        <v/>
      </c>
    </row>
    <row r="13">
      <c r="A13" s="5" t="inlineStr">
        <is>
          <t xml:space="preserve">  Dạng: Video</t>
        </is>
      </c>
      <c r="B13" s="5">
        <f>COUNTIFS('Từng bài'!$A$2:$A$85,B$4,'Từng bài'!$L$2:$L$85,"Video")</f>
        <v/>
      </c>
      <c r="C13" s="5">
        <f>COUNTIFS('Từng bài'!$A$2:$A$85,C$4,'Từng bài'!$L$2:$L$85,"Video")</f>
        <v/>
      </c>
      <c r="D13" s="5">
        <f>COUNTIFS('Từng bài'!$A$2:$A$85,D$4,'Từng bài'!$L$2:$L$85,"Video")</f>
        <v/>
      </c>
      <c r="E13" s="5">
        <f>COUNTIFS('Từng bài'!$A$2:$A$85,E$4,'Từng bài'!$L$2:$L$85,"Video")</f>
        <v/>
      </c>
      <c r="F13" s="5">
        <f>COUNTIFS('Từng bài'!$A$2:$A$85,F$4,'Từng bài'!$L$2:$L$85,"Video")</f>
        <v/>
      </c>
      <c r="G13" s="5">
        <f>COUNTIFS('Từng bài'!$A$2:$A$85,G$4,'Từng bài'!$L$2:$L$85,"Video")</f>
        <v/>
      </c>
      <c r="H13" s="5">
        <f>COUNTIFS('Từng bài'!$A$2:$A$85,H$4,'Từng bài'!$L$2:$L$85,"Video")</f>
        <v/>
      </c>
      <c r="I13" s="5">
        <f>SUM(B13:H13)</f>
        <v/>
      </c>
    </row>
    <row r="14">
      <c r="A14" s="5" t="inlineStr">
        <is>
          <t xml:space="preserve">  Trạng thái: Đã hiện</t>
        </is>
      </c>
      <c r="B14" s="5">
        <f>COUNTIFS('Từng bài'!$A$2:$A$85,B$4,'Từng bài'!$N$2:$N$85,"Đã hiện")</f>
        <v/>
      </c>
      <c r="C14" s="5">
        <f>COUNTIFS('Từng bài'!$A$2:$A$85,C$4,'Từng bài'!$N$2:$N$85,"Đã hiện")</f>
        <v/>
      </c>
      <c r="D14" s="5">
        <f>COUNTIFS('Từng bài'!$A$2:$A$85,D$4,'Từng bài'!$N$2:$N$85,"Đã hiện")</f>
        <v/>
      </c>
      <c r="E14" s="5">
        <f>COUNTIFS('Từng bài'!$A$2:$A$85,E$4,'Từng bài'!$N$2:$N$85,"Đã hiện")</f>
        <v/>
      </c>
      <c r="F14" s="5">
        <f>COUNTIFS('Từng bài'!$A$2:$A$85,F$4,'Từng bài'!$N$2:$N$85,"Đã hiện")</f>
        <v/>
      </c>
      <c r="G14" s="5">
        <f>COUNTIFS('Từng bài'!$A$2:$A$85,G$4,'Từng bài'!$N$2:$N$85,"Đã hiện")</f>
        <v/>
      </c>
      <c r="H14" s="5">
        <f>COUNTIFS('Từng bài'!$A$2:$A$85,H$4,'Từng bài'!$N$2:$N$85,"Đã hiện")</f>
        <v/>
      </c>
      <c r="I14" s="5">
        <f>SUM(B14:H14)</f>
        <v/>
      </c>
    </row>
    <row r="15">
      <c r="A15" s="5" t="inlineStr">
        <is>
          <t xml:space="preserve">  Trạng thái: Chờ nhóm duyệt</t>
        </is>
      </c>
      <c r="B15" s="5">
        <f>COUNTIFS('Từng bài'!$A$2:$A$85,B$4,'Từng bài'!$N$2:$N$85,"Chờ nhóm duyệt")</f>
        <v/>
      </c>
      <c r="C15" s="5">
        <f>COUNTIFS('Từng bài'!$A$2:$A$85,C$4,'Từng bài'!$N$2:$N$85,"Chờ nhóm duyệt")</f>
        <v/>
      </c>
      <c r="D15" s="5">
        <f>COUNTIFS('Từng bài'!$A$2:$A$85,D$4,'Từng bài'!$N$2:$N$85,"Chờ nhóm duyệt")</f>
        <v/>
      </c>
      <c r="E15" s="5">
        <f>COUNTIFS('Từng bài'!$A$2:$A$85,E$4,'Từng bài'!$N$2:$N$85,"Chờ nhóm duyệt")</f>
        <v/>
      </c>
      <c r="F15" s="5">
        <f>COUNTIFS('Từng bài'!$A$2:$A$85,F$4,'Từng bài'!$N$2:$N$85,"Chờ nhóm duyệt")</f>
        <v/>
      </c>
      <c r="G15" s="5">
        <f>COUNTIFS('Từng bài'!$A$2:$A$85,G$4,'Từng bài'!$N$2:$N$85,"Chờ nhóm duyệt")</f>
        <v/>
      </c>
      <c r="H15" s="5">
        <f>COUNTIFS('Từng bài'!$A$2:$A$85,H$4,'Từng bài'!$N$2:$N$85,"Chờ nhóm duyệt")</f>
        <v/>
      </c>
      <c r="I15" s="5">
        <f>SUM(B15:H15)</f>
        <v/>
      </c>
    </row>
    <row r="16">
      <c r="A16" s="5" t="inlineStr">
        <is>
          <t xml:space="preserve">  Trạng thái: Hẹn đăng</t>
        </is>
      </c>
      <c r="B16" s="5">
        <f>COUNTIFS('Từng bài'!$A$2:$A$85,B$4,'Từng bài'!$N$2:$N$85,"Hẹn đăng")</f>
        <v/>
      </c>
      <c r="C16" s="5">
        <f>COUNTIFS('Từng bài'!$A$2:$A$85,C$4,'Từng bài'!$N$2:$N$85,"Hẹn đăng")</f>
        <v/>
      </c>
      <c r="D16" s="5">
        <f>COUNTIFS('Từng bài'!$A$2:$A$85,D$4,'Từng bài'!$N$2:$N$85,"Hẹn đăng")</f>
        <v/>
      </c>
      <c r="E16" s="5">
        <f>COUNTIFS('Từng bài'!$A$2:$A$85,E$4,'Từng bài'!$N$2:$N$85,"Hẹn đăng")</f>
        <v/>
      </c>
      <c r="F16" s="5">
        <f>COUNTIFS('Từng bài'!$A$2:$A$85,F$4,'Từng bài'!$N$2:$N$85,"Hẹn đăng")</f>
        <v/>
      </c>
      <c r="G16" s="5">
        <f>COUNTIFS('Từng bài'!$A$2:$A$85,G$4,'Từng bài'!$N$2:$N$85,"Hẹn đăng")</f>
        <v/>
      </c>
      <c r="H16" s="5">
        <f>COUNTIFS('Từng bài'!$A$2:$A$85,H$4,'Từng bài'!$N$2:$N$85,"Hẹn đăng")</f>
        <v/>
      </c>
      <c r="I16" s="5">
        <f>SUM(B16:H16)</f>
        <v/>
      </c>
    </row>
    <row r="17">
      <c r="A17" s="5" t="inlineStr">
        <is>
          <t xml:space="preserve">  Trạng thái: Hỏng</t>
        </is>
      </c>
      <c r="B17" s="5">
        <f>COUNTIFS('Từng bài'!$A$2:$A$85,B$4,'Từng bài'!$N$2:$N$85,"Hỏng")</f>
        <v/>
      </c>
      <c r="C17" s="5">
        <f>COUNTIFS('Từng bài'!$A$2:$A$85,C$4,'Từng bài'!$N$2:$N$85,"Hỏng")</f>
        <v/>
      </c>
      <c r="D17" s="5">
        <f>COUNTIFS('Từng bài'!$A$2:$A$85,D$4,'Từng bài'!$N$2:$N$85,"Hỏng")</f>
        <v/>
      </c>
      <c r="E17" s="5">
        <f>COUNTIFS('Từng bài'!$A$2:$A$85,E$4,'Từng bài'!$N$2:$N$85,"Hỏng")</f>
        <v/>
      </c>
      <c r="F17" s="5">
        <f>COUNTIFS('Từng bài'!$A$2:$A$85,F$4,'Từng bài'!$N$2:$N$85,"Hỏng")</f>
        <v/>
      </c>
      <c r="G17" s="5">
        <f>COUNTIFS('Từng bài'!$A$2:$A$85,G$4,'Từng bài'!$N$2:$N$85,"Hỏng")</f>
        <v/>
      </c>
      <c r="H17" s="5">
        <f>COUNTIFS('Từng bài'!$A$2:$A$85,H$4,'Từng bài'!$N$2:$N$85,"Hỏng")</f>
        <v/>
      </c>
      <c r="I17" s="5">
        <f>SUM(B17:H17)</f>
        <v/>
      </c>
    </row>
    <row r="18">
      <c r="A18" s="5" t="inlineStr">
        <is>
          <t xml:space="preserve">  Có ảnh chính sách ghi 'đến 31/10'</t>
        </is>
      </c>
      <c r="B18" s="5">
        <f>COUNTIFS('Từng bài'!$A$2:$A$85,B$4,'Từng bài'!$M$2:$M$85,"Có")</f>
        <v/>
      </c>
      <c r="C18" s="5">
        <f>COUNTIFS('Từng bài'!$A$2:$A$85,C$4,'Từng bài'!$M$2:$M$85,"Có")</f>
        <v/>
      </c>
      <c r="D18" s="5">
        <f>COUNTIFS('Từng bài'!$A$2:$A$85,D$4,'Từng bài'!$M$2:$M$85,"Có")</f>
        <v/>
      </c>
      <c r="E18" s="5">
        <f>COUNTIFS('Từng bài'!$A$2:$A$85,E$4,'Từng bài'!$M$2:$M$85,"Có")</f>
        <v/>
      </c>
      <c r="F18" s="5">
        <f>COUNTIFS('Từng bài'!$A$2:$A$85,F$4,'Từng bài'!$M$2:$M$85,"Có")</f>
        <v/>
      </c>
      <c r="G18" s="5">
        <f>COUNTIFS('Từng bài'!$A$2:$A$85,G$4,'Từng bài'!$M$2:$M$85,"Có")</f>
        <v/>
      </c>
      <c r="H18" s="5">
        <f>COUNTIFS('Từng bài'!$A$2:$A$85,H$4,'Từng bài'!$M$2:$M$85,"Có")</f>
        <v/>
      </c>
      <c r="I18" s="5">
        <f>SUM(B18:H18)</f>
        <v/>
      </c>
    </row>
    <row r="20">
      <c r="A20" s="4" t="inlineStr">
        <is>
          <t>Việc cần xử lý</t>
        </is>
      </c>
    </row>
    <row r="21" ht="28" customHeight="1">
      <c r="A21" s="6" t="inlineStr">
        <is>
          <t>1. Sun City chỉ có 2 bài (29/10). Đề xuất thêm 1 bài/ngày từ 30/10 vào nhóm nhà đất Bắc Giang.</t>
        </is>
      </c>
    </row>
    <row r="22" ht="28" customHeight="1">
      <c r="A22" s="6" t="inlineStr">
        <is>
          <t>2. 82 bài Golden Hill dùng 3 ảnh, chưa dùng video định vị. Đề xuất đổi khoảng một nửa sang video để so sánh.</t>
        </is>
      </c>
    </row>
    <row r="23" ht="28" customHeight="1">
      <c r="A23" s="6" t="inlineStr">
        <is>
          <t>3. Bài từ 01/11 vẫn kèm ảnh chính sách ghi ưu đãi 'đến 31/10': cần ảnh chính sách tháng 11 hoặc bỏ ảnh này.</t>
        </is>
      </c>
    </row>
    <row r="24" ht="28" customHeight="1">
      <c r="A24" s="6" t="inlineStr">
        <is>
          <t>4. Luật lịch: tối đa 12 bài/ngày, mỗi bài cách nhau ≥ 25 phút, mỗi nhóm cách ≥ 3 ngày (config/settings.json).</t>
        </is>
      </c>
    </row>
  </sheetData>
  <mergeCells count="4">
    <mergeCell ref="A23:I23"/>
    <mergeCell ref="A24:I24"/>
    <mergeCell ref="A21:I21"/>
    <mergeCell ref="A22:I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13" customWidth="1" min="3" max="3"/>
    <col width="6" customWidth="1" min="4" max="4"/>
    <col width="26" customWidth="1" min="5" max="5"/>
    <col width="46" customWidth="1" min="6" max="6"/>
    <col width="20" customWidth="1" min="7" max="7"/>
    <col width="10" customWidth="1" min="8" max="8"/>
    <col width="40" customWidth="1" min="9" max="9"/>
    <col width="15" customWidth="1" min="10" max="10"/>
    <col width="11" customWidth="1" min="11" max="11"/>
    <col width="9" customWidth="1" min="12" max="12"/>
    <col width="10" customWidth="1" min="13" max="13"/>
    <col width="14" customWidth="1" min="14" max="14"/>
    <col width="8" customWidth="1" min="15" max="15"/>
    <col width="8" customWidth="1" min="16" max="16"/>
  </cols>
  <sheetData>
    <row r="1">
      <c r="A1" s="7" t="inlineStr">
        <is>
          <t>Ngày</t>
        </is>
      </c>
      <c r="B1" s="7" t="inlineStr">
        <is>
          <t>Giờ</t>
        </is>
      </c>
      <c r="C1" s="7" t="inlineStr">
        <is>
          <t>Dự án</t>
        </is>
      </c>
      <c r="D1" s="7" t="inlineStr">
        <is>
          <t>Góc</t>
        </is>
      </c>
      <c r="E1" s="7" t="inlineStr">
        <is>
          <t>Loại bài (góc)</t>
        </is>
      </c>
      <c r="F1" s="7" t="inlineStr">
        <is>
          <t>Tiêu đề bài</t>
        </is>
      </c>
      <c r="G1" s="7" t="inlineStr">
        <is>
          <t>Đối tượng</t>
        </is>
      </c>
      <c r="H1" s="7" t="inlineStr">
        <is>
          <t>Mã khách báo</t>
        </is>
      </c>
      <c r="I1" s="7" t="inlineStr">
        <is>
          <t>Nhóm</t>
        </is>
      </c>
      <c r="J1" s="7" t="inlineStr">
        <is>
          <t>Loại nhóm</t>
        </is>
      </c>
      <c r="K1" s="7" t="inlineStr">
        <is>
          <t>Thành viên</t>
        </is>
      </c>
      <c r="L1" s="7" t="inlineStr">
        <is>
          <t>Ảnh/video</t>
        </is>
      </c>
      <c r="M1" s="7" t="inlineStr">
        <is>
          <t>Có ảnh chính sách</t>
        </is>
      </c>
      <c r="N1" s="7" t="inlineStr">
        <is>
          <t>Trạng thái</t>
        </is>
      </c>
      <c r="O1" s="7" t="inlineStr">
        <is>
          <t>Mã bài</t>
        </is>
      </c>
      <c r="P1" s="7" t="inlineStr">
        <is>
          <t>Mã nhóm</t>
        </is>
      </c>
    </row>
    <row r="2">
      <c r="A2" s="6" t="inlineStr">
        <is>
          <t>T4 28/10</t>
        </is>
      </c>
      <c r="B2" s="6" t="inlineStr">
        <is>
          <t>07:20</t>
        </is>
      </c>
      <c r="C2" s="6" t="inlineStr">
        <is>
          <t>Golden Hill</t>
        </is>
      </c>
      <c r="D2" s="6" t="n">
        <v>1</v>
      </c>
      <c r="E2" s="6" t="inlineStr">
        <is>
          <t>Rủ anh em, họ hàng mua gần nhau</t>
        </is>
      </c>
      <c r="F2" s="6" t="inlineStr">
        <is>
          <t>🏡 RỦ ANH EM XEM ĐẤT? CHỈ VỚI 500 TRIỆU ĐÃ SỞ HỮU LÔ ĐẤT</t>
        </is>
      </c>
      <c r="G2" s="6" t="inlineStr">
        <is>
          <t>xay-nha-gia-dinh</t>
        </is>
      </c>
      <c r="H2" s="6" t="inlineStr">
        <is>
          <t>TY71</t>
        </is>
      </c>
      <c r="I2" s="6" t="inlineStr">
        <is>
          <t>Nhà Đất Lạng Sơn</t>
        </is>
      </c>
      <c r="J2" s="6" t="inlineStr">
        <is>
          <t>Nhà đất / BĐS</t>
        </is>
      </c>
      <c r="K2" s="8" t="n">
        <v>86000</v>
      </c>
      <c r="L2" s="6" t="inlineStr">
        <is>
          <t>3 ảnh</t>
        </is>
      </c>
      <c r="M2" s="6" t="inlineStr">
        <is>
          <t>Có</t>
        </is>
      </c>
      <c r="N2" s="6" t="inlineStr">
        <is>
          <t>Đã hiện</t>
        </is>
      </c>
      <c r="O2" s="6" t="n">
        <v>372</v>
      </c>
      <c r="P2" s="6" t="n">
        <v>310</v>
      </c>
    </row>
    <row r="3">
      <c r="A3" s="6" t="inlineStr">
        <is>
          <t>T4 28/10</t>
        </is>
      </c>
      <c r="B3" s="6" t="inlineStr">
        <is>
          <t>08:26</t>
        </is>
      </c>
      <c r="C3" s="6" t="inlineStr">
        <is>
          <t>Golden Hill</t>
        </is>
      </c>
      <c r="D3" s="6" t="n">
        <v>2</v>
      </c>
      <c r="E3" s="6" t="inlineStr">
        <is>
          <t>Hai vợ chồng cùng đi xem</t>
        </is>
      </c>
      <c r="F3" s="6" t="inlineStr">
        <is>
          <t>🏡 VỢ CHỒNG LÀM NHÀ? CHỈ VỚI 500 TRIỆU ĐÃ SỞ HỮU LÔ ĐẤT</t>
        </is>
      </c>
      <c r="G3" s="6" t="inlineStr">
        <is>
          <t>gia-dinh-tre-xay-nha</t>
        </is>
      </c>
      <c r="H3" s="6" t="inlineStr">
        <is>
          <t>BH30</t>
        </is>
      </c>
      <c r="I3" s="6" t="inlineStr">
        <is>
          <t>Chợ Chùa Hang Linh Sơn Đồng Hỷ Thái Nguyên</t>
        </is>
      </c>
      <c r="J3" s="6" t="inlineStr">
        <is>
          <t>Chợ địa phương</t>
        </is>
      </c>
      <c r="K3" s="8" t="n">
        <v>59000</v>
      </c>
      <c r="L3" s="6" t="inlineStr">
        <is>
          <t>3 ảnh</t>
        </is>
      </c>
      <c r="M3" s="6" t="inlineStr">
        <is>
          <t>Có</t>
        </is>
      </c>
      <c r="N3" s="6" t="inlineStr">
        <is>
          <t>Chờ nhóm duyệt</t>
        </is>
      </c>
      <c r="O3" s="6" t="n">
        <v>373</v>
      </c>
      <c r="P3" s="6" t="n">
        <v>311</v>
      </c>
    </row>
    <row r="4">
      <c r="A4" s="6" t="inlineStr">
        <is>
          <t>T4 28/10</t>
        </is>
      </c>
      <c r="B4" s="6" t="inlineStr">
        <is>
          <t>10:02</t>
        </is>
      </c>
      <c r="C4" s="6" t="inlineStr">
        <is>
          <t>Golden Hill</t>
        </is>
      </c>
      <c r="D4" s="6" t="n">
        <v>3</v>
      </c>
      <c r="E4" s="6" t="inlineStr">
        <is>
          <t>Đất làm nhà cưới cho con</t>
        </is>
      </c>
      <c r="F4" s="6" t="inlineStr">
        <is>
          <t>🏡 ĐẤT CHO CON? CHỈ VỚI 500 TRIỆU ĐÃ SỞ HỮU LÔ ĐẤT</t>
        </is>
      </c>
      <c r="G4" s="6" t="inlineStr">
        <is>
          <t>Cha mẹ mua cho con</t>
        </is>
      </c>
      <c r="H4" s="6" t="inlineStr">
        <is>
          <t>YT97</t>
        </is>
      </c>
      <c r="I4" s="6" t="inlineStr">
        <is>
          <t>Nhã Nam reading club</t>
        </is>
      </c>
      <c r="J4" s="6" t="inlineStr">
        <is>
          <t>Cộng đồng / hội</t>
        </is>
      </c>
      <c r="K4" s="8" t="n">
        <v>259000</v>
      </c>
      <c r="L4" s="6" t="inlineStr">
        <is>
          <t>3 ảnh</t>
        </is>
      </c>
      <c r="M4" s="6" t="inlineStr">
        <is>
          <t>Có</t>
        </is>
      </c>
      <c r="N4" s="6" t="inlineStr">
        <is>
          <t>Chờ nhóm duyệt</t>
        </is>
      </c>
      <c r="O4" s="6" t="n">
        <v>374</v>
      </c>
      <c r="P4" s="6" t="n">
        <v>139</v>
      </c>
    </row>
    <row r="5">
      <c r="A5" s="6" t="inlineStr">
        <is>
          <t>T4 28/10</t>
        </is>
      </c>
      <c r="B5" s="6" t="inlineStr">
        <is>
          <t>10:35</t>
        </is>
      </c>
      <c r="C5" s="6" t="inlineStr">
        <is>
          <t>Golden Hill</t>
        </is>
      </c>
      <c r="D5" s="6" t="n">
        <v>6</v>
      </c>
      <c r="E5" s="6" t="inlineStr">
        <is>
          <t>Dạo một vòng bằng flycam</t>
        </is>
      </c>
      <c r="F5" s="6" t="inlineStr">
        <is>
          <t>📍 XEM TỪ TRÊN CAO? CHỈ VỚI 500 TRIỆU ĐÃ SỞ HỮU LÔ ĐẤT</t>
        </is>
      </c>
      <c r="G5" s="6" t="inlineStr">
        <is>
          <t>nguoi-tim-dat-o</t>
        </is>
      </c>
      <c r="H5" s="6" t="inlineStr">
        <is>
          <t>TY72</t>
        </is>
      </c>
      <c r="I5" s="6" t="inlineStr">
        <is>
          <t>Mua Bán Bất Động Sản Bắc Giang</t>
        </is>
      </c>
      <c r="J5" s="6" t="inlineStr">
        <is>
          <t>Nhà đất / BĐS</t>
        </is>
      </c>
      <c r="K5" s="8" t="n">
        <v>36000</v>
      </c>
      <c r="L5" s="6" t="inlineStr">
        <is>
          <t>3 ảnh</t>
        </is>
      </c>
      <c r="M5" s="6" t="inlineStr">
        <is>
          <t>Có</t>
        </is>
      </c>
      <c r="N5" s="6" t="inlineStr">
        <is>
          <t>Đã hiện</t>
        </is>
      </c>
      <c r="O5" s="6" t="n">
        <v>375</v>
      </c>
      <c r="P5" s="6" t="n">
        <v>35</v>
      </c>
    </row>
    <row r="6">
      <c r="A6" s="6" t="inlineStr">
        <is>
          <t>T4 28/10</t>
        </is>
      </c>
      <c r="B6" s="6" t="inlineStr">
        <is>
          <t>13:58</t>
        </is>
      </c>
      <c r="C6" s="6" t="inlineStr">
        <is>
          <t>Golden Hill</t>
        </is>
      </c>
      <c r="D6" s="6" t="n">
        <v>8</v>
      </c>
      <c r="E6" s="6" t="inlineStr">
        <is>
          <t>Làm KCN, về quê có đất</t>
        </is>
      </c>
      <c r="F6" s="6" t="inlineStr">
        <is>
          <t>🏡 ĐI CA KCN? CHỈ VỚI 500 TRIỆU ĐÃ SỞ HỮU LÔ ĐẤT</t>
        </is>
      </c>
      <c r="G6" s="6" t="inlineStr">
        <is>
          <t>cong-nhan-kcn-lam-nha</t>
        </is>
      </c>
      <c r="H6" s="6" t="inlineStr">
        <is>
          <t>TY73</t>
        </is>
      </c>
      <c r="I6" s="6" t="inlineStr">
        <is>
          <t>KCN Song Khê - Nội Hoàng - Bắc Giang</t>
        </is>
      </c>
      <c r="J6" s="6" t="inlineStr">
        <is>
          <t>KCN / nhà trọ</t>
        </is>
      </c>
      <c r="K6" s="8" t="n">
        <v>70000</v>
      </c>
      <c r="L6" s="6" t="inlineStr">
        <is>
          <t>3 ảnh</t>
        </is>
      </c>
      <c r="M6" s="6" t="inlineStr">
        <is>
          <t>Có</t>
        </is>
      </c>
      <c r="N6" s="6" t="inlineStr">
        <is>
          <t>Hẹn đăng</t>
        </is>
      </c>
      <c r="O6" s="6" t="n">
        <v>377</v>
      </c>
      <c r="P6" s="6" t="n">
        <v>542</v>
      </c>
    </row>
    <row r="7">
      <c r="A7" s="6" t="inlineStr">
        <is>
          <t>T4 28/10</t>
        </is>
      </c>
      <c r="B7" s="6" t="inlineStr">
        <is>
          <t>14:46</t>
        </is>
      </c>
      <c r="C7" s="6" t="inlineStr">
        <is>
          <t>Golden Hill</t>
        </is>
      </c>
      <c r="D7" s="6" t="n">
        <v>9</v>
      </c>
      <c r="E7" s="6" t="inlineStr">
        <is>
          <t>Khu dân cư mới giữa trung tâm xã</t>
        </is>
      </c>
      <c r="F7" s="6" t="inlineStr">
        <is>
          <t>📍 KHU DÂN CƯ MỚI? CHỈ VỚI 500 TRIỆU ĐÃ SỞ HỮU LÔ ĐẤT</t>
        </is>
      </c>
      <c r="G7" s="6" t="inlineStr">
        <is>
          <t>nguoi-yen-the</t>
        </is>
      </c>
      <c r="H7" s="6" t="inlineStr">
        <is>
          <t>YT99</t>
        </is>
      </c>
      <c r="I7" s="6" t="inlineStr">
        <is>
          <t>Hội Người Yên Thế</t>
        </is>
      </c>
      <c r="J7" s="6" t="inlineStr">
        <is>
          <t>Cộng đồng / hội</t>
        </is>
      </c>
      <c r="K7" s="8" t="n">
        <v>7400</v>
      </c>
      <c r="L7" s="6" t="inlineStr">
        <is>
          <t>3 ảnh</t>
        </is>
      </c>
      <c r="M7" s="6" t="inlineStr">
        <is>
          <t>Có</t>
        </is>
      </c>
      <c r="N7" s="6" t="inlineStr">
        <is>
          <t>Hẹn đăng</t>
        </is>
      </c>
      <c r="O7" s="6" t="n">
        <v>378</v>
      </c>
      <c r="P7" s="6" t="n">
        <v>19</v>
      </c>
    </row>
    <row r="8">
      <c r="A8" s="6" t="inlineStr">
        <is>
          <t>T4 28/10</t>
        </is>
      </c>
      <c r="B8" s="6" t="inlineStr">
        <is>
          <t>15:52</t>
        </is>
      </c>
      <c r="C8" s="6" t="inlineStr">
        <is>
          <t>Golden Hill</t>
        </is>
      </c>
      <c r="D8" s="6" t="n">
        <v>10</v>
      </c>
      <c r="E8" s="6" t="inlineStr">
        <is>
          <t>Nhìn từ trên cao / mặt đường</t>
        </is>
      </c>
      <c r="F8" s="6" t="inlineStr">
        <is>
          <t>📍 CHỌN ĐẤT XÂY NHÀ? CHỈ VỚI 500 TRIỆU ĐÃ SỞ HỮU LÔ ĐẤT</t>
        </is>
      </c>
      <c r="G8" s="6" t="inlineStr">
        <is>
          <t>nguoi-xay-nha-mat-duong</t>
        </is>
      </c>
      <c r="H8" s="6" t="inlineStr">
        <is>
          <t>TY74</t>
        </is>
      </c>
      <c r="I8" s="6" t="inlineStr">
        <is>
          <t>Chợ Nhà Đất Lạng Sơn - Nơi mua bán, thuê và cho thuê bất động sản Lạng Sơn</t>
        </is>
      </c>
      <c r="J8" s="6" t="inlineStr">
        <is>
          <t>Nhà đất / BĐS</t>
        </is>
      </c>
      <c r="K8" s="8" t="n">
        <v>170000</v>
      </c>
      <c r="L8" s="6" t="inlineStr">
        <is>
          <t>3 ảnh</t>
        </is>
      </c>
      <c r="M8" s="6" t="inlineStr">
        <is>
          <t>Có</t>
        </is>
      </c>
      <c r="N8" s="6" t="inlineStr">
        <is>
          <t>Hẹn đăng</t>
        </is>
      </c>
      <c r="O8" s="6" t="n">
        <v>379</v>
      </c>
      <c r="P8" s="6" t="n">
        <v>308</v>
      </c>
    </row>
    <row r="9">
      <c r="A9" s="6" t="inlineStr">
        <is>
          <t>T4 28/10</t>
        </is>
      </c>
      <c r="B9" s="6" t="inlineStr">
        <is>
          <t>17:10</t>
        </is>
      </c>
      <c r="C9" s="6" t="inlineStr">
        <is>
          <t>Golden Hill</t>
        </is>
      </c>
      <c r="D9" s="6" t="n">
        <v>11</v>
      </c>
      <c r="E9" s="6" t="inlineStr">
        <is>
          <t>Vẫn có khách giao dịch, CĐT dẫn đi xem</t>
        </is>
      </c>
      <c r="F9" s="6" t="inlineStr">
        <is>
          <t>🔥 HẸN NGÀY XEM ĐẤT? CHỈ VỚI 500 TRIỆU ĐÃ SỞ HỮU LÔ ĐẤT</t>
        </is>
      </c>
      <c r="G9" s="6" t="inlineStr">
        <is>
          <t>Người tìm đất xây nhà</t>
        </is>
      </c>
      <c r="H9" s="6" t="inlineStr">
        <is>
          <t>YT100</t>
        </is>
      </c>
      <c r="I9" s="6" t="inlineStr">
        <is>
          <t>BẤT ĐỘNG SẢN YÊN THẾ</t>
        </is>
      </c>
      <c r="J9" s="6" t="inlineStr">
        <is>
          <t>Nhà đất / BĐS</t>
        </is>
      </c>
      <c r="K9" s="8" t="n">
        <v>6200</v>
      </c>
      <c r="L9" s="6" t="inlineStr">
        <is>
          <t>3 ảnh</t>
        </is>
      </c>
      <c r="M9" s="6" t="inlineStr">
        <is>
          <t>Có</t>
        </is>
      </c>
      <c r="N9" s="6" t="inlineStr">
        <is>
          <t>Hẹn đăng</t>
        </is>
      </c>
      <c r="O9" s="6" t="n">
        <v>380</v>
      </c>
      <c r="P9" s="6" t="n">
        <v>7</v>
      </c>
    </row>
    <row r="10">
      <c r="A10" s="6" t="inlineStr">
        <is>
          <t>T4 28/10</t>
        </is>
      </c>
      <c r="B10" s="6" t="inlineStr">
        <is>
          <t>18:39</t>
        </is>
      </c>
      <c r="C10" s="6" t="inlineStr">
        <is>
          <t>Golden Hill</t>
        </is>
      </c>
      <c r="D10" s="6" t="n">
        <v>12</v>
      </c>
      <c r="E10" s="6" t="inlineStr">
        <is>
          <t>Người các xã lân cận</t>
        </is>
      </c>
      <c r="F10" s="6" t="inlineStr">
        <is>
          <t>🏡 Ở QUANH YÊN THẾ? CHỈ VỚI 500 TRIỆU ĐÃ SỞ HỮU LÔ ĐẤT</t>
        </is>
      </c>
      <c r="G10" s="6" t="inlineStr">
        <is>
          <t>nguoi-yen-the-xa-que</t>
        </is>
      </c>
      <c r="H10" s="6" t="inlineStr">
        <is>
          <t>BH31</t>
        </is>
      </c>
      <c r="I10" s="6" t="inlineStr">
        <is>
          <t>Nhà Đất xã Yên Thế, Đồng Kỳ, Xuân Lương, Tam Tiến, Bố Hạ tỉnh Bắc Ninh</t>
        </is>
      </c>
      <c r="J10" s="6" t="inlineStr">
        <is>
          <t>Nhà đất / BĐS</t>
        </is>
      </c>
      <c r="K10" s="8" t="n">
        <v>1200</v>
      </c>
      <c r="L10" s="6" t="inlineStr">
        <is>
          <t>3 ảnh</t>
        </is>
      </c>
      <c r="M10" s="6" t="inlineStr">
        <is>
          <t>Có</t>
        </is>
      </c>
      <c r="N10" s="6" t="inlineStr">
        <is>
          <t>Hẹn đăng</t>
        </is>
      </c>
      <c r="O10" s="6" t="n">
        <v>381</v>
      </c>
      <c r="P10" s="6" t="n">
        <v>49</v>
      </c>
    </row>
    <row r="11">
      <c r="A11" s="6" t="inlineStr">
        <is>
          <t>T4 28/10</t>
        </is>
      </c>
      <c r="B11" s="6" t="inlineStr">
        <is>
          <t>19:35</t>
        </is>
      </c>
      <c r="C11" s="6" t="inlineStr">
        <is>
          <t>Golden Hill</t>
        </is>
      </c>
      <c r="D11" s="6" t="n">
        <v>7</v>
      </c>
      <c r="E11" s="6" t="inlineStr">
        <is>
          <t>Hỏi nhanh – đáp nhanh</t>
        </is>
      </c>
      <c r="F11" s="6" t="inlineStr">
        <is>
          <t>✅ HỎI TRƯỚC KHI MUA? CHỈ VỚI 500 TRIỆU ĐÃ SỞ HỮU LÔ ĐẤT</t>
        </is>
      </c>
      <c r="G11" s="6" t="inlineStr">
        <is>
          <t>mua-o-lan-dau</t>
        </is>
      </c>
      <c r="H11" s="6" t="inlineStr">
        <is>
          <t>YT98</t>
        </is>
      </c>
      <c r="I11" s="6" t="inlineStr">
        <is>
          <t>Nhà đất Lạng Sơn - Mua bán, Cho thuê BĐS</t>
        </is>
      </c>
      <c r="J11" s="6" t="inlineStr">
        <is>
          <t>Nhà đất / BĐS</t>
        </is>
      </c>
      <c r="K11" s="8" t="n">
        <v>56000</v>
      </c>
      <c r="L11" s="6" t="inlineStr">
        <is>
          <t>3 ảnh</t>
        </is>
      </c>
      <c r="M11" s="6" t="inlineStr">
        <is>
          <t>Có</t>
        </is>
      </c>
      <c r="N11" s="6" t="inlineStr">
        <is>
          <t>Hẹn đăng</t>
        </is>
      </c>
      <c r="O11" s="6" t="n">
        <v>376</v>
      </c>
      <c r="P11" s="6" t="n">
        <v>312</v>
      </c>
    </row>
    <row r="12">
      <c r="A12" s="6" t="inlineStr">
        <is>
          <t>T4 28/10</t>
        </is>
      </c>
      <c r="B12" s="6" t="inlineStr">
        <is>
          <t>20:32</t>
        </is>
      </c>
      <c r="C12" s="6" t="inlineStr">
        <is>
          <t>Golden Hill</t>
        </is>
      </c>
      <c r="D12" s="6" t="n">
        <v>5</v>
      </c>
      <c r="E12" s="6" t="inlineStr">
        <is>
          <t>Tối cho con ra quảng trường chơi</t>
        </is>
      </c>
      <c r="F12" s="6" t="inlineStr">
        <is>
          <t>🌙 QUẢNG TRƯỜNG SÁNG ĐÈN: CHỈ VỚI 500 TRIỆU ĐÃ SỞ HỮU LÔ ĐẤT</t>
        </is>
      </c>
      <c r="G12" s="6" t="inlineStr">
        <is>
          <t>Cha mẹ mua cho con</t>
        </is>
      </c>
      <c r="H12" s="6" t="inlineStr">
        <is>
          <t>YT101</t>
        </is>
      </c>
      <c r="I12" s="6" t="inlineStr">
        <is>
          <t>Xã Đồng Kỳ - Bắc Ninh ( Mới ): Thông Tin - Trao Đổi, Mua Bán</t>
        </is>
      </c>
      <c r="J12" s="6" t="inlineStr">
        <is>
          <t>Cộng đồng / hội</t>
        </is>
      </c>
      <c r="K12" s="8" t="n">
        <v>0</v>
      </c>
      <c r="L12" s="6" t="inlineStr">
        <is>
          <t>3 ảnh</t>
        </is>
      </c>
      <c r="M12" s="6" t="inlineStr">
        <is>
          <t>Có</t>
        </is>
      </c>
      <c r="N12" s="6" t="inlineStr">
        <is>
          <t>Hẹn đăng</t>
        </is>
      </c>
      <c r="O12" s="6" t="n">
        <v>382</v>
      </c>
      <c r="P12" s="6" t="n">
        <v>20</v>
      </c>
    </row>
    <row r="13">
      <c r="A13" s="6" t="inlineStr">
        <is>
          <t>T4 28/10</t>
        </is>
      </c>
      <c r="B13" s="6" t="inlineStr">
        <is>
          <t>21:47</t>
        </is>
      </c>
      <c r="C13" s="6" t="inlineStr">
        <is>
          <t>Golden Hill</t>
        </is>
      </c>
      <c r="D13" s="6" t="n">
        <v>5</v>
      </c>
      <c r="E13" s="6" t="inlineStr">
        <is>
          <t>Tối cho con ra quảng trường chơi</t>
        </is>
      </c>
      <c r="F13" s="6" t="inlineStr">
        <is>
          <t>🔥 CON CÓ SÂN CHƠI? CHỈ VỚI 500 TRIỆU ĐÃ SỞ HỮU LÔ ĐẤT</t>
        </is>
      </c>
      <c r="G13" s="6" t="inlineStr">
        <is>
          <t>Gia đình trẻ</t>
        </is>
      </c>
      <c r="H13" s="6" t="inlineStr">
        <is>
          <t>TY75</t>
        </is>
      </c>
      <c r="I13" s="6" t="inlineStr">
        <is>
          <t>Yên Thế Online</t>
        </is>
      </c>
      <c r="J13" s="6" t="inlineStr">
        <is>
          <t>Cộng đồng / hội</t>
        </is>
      </c>
      <c r="K13" s="8" t="n">
        <v>13000</v>
      </c>
      <c r="L13" s="6" t="inlineStr">
        <is>
          <t>3 ảnh</t>
        </is>
      </c>
      <c r="M13" s="6" t="inlineStr">
        <is>
          <t>Có</t>
        </is>
      </c>
      <c r="N13" s="6" t="inlineStr">
        <is>
          <t>Hẹn đăng</t>
        </is>
      </c>
      <c r="O13" s="6" t="n">
        <v>383</v>
      </c>
      <c r="P13" s="6" t="n">
        <v>46</v>
      </c>
    </row>
    <row r="14">
      <c r="A14" s="6" t="inlineStr">
        <is>
          <t>T5 29/10</t>
        </is>
      </c>
      <c r="B14" s="6" t="inlineStr">
        <is>
          <t>07:20</t>
        </is>
      </c>
      <c r="C14" s="6" t="inlineStr">
        <is>
          <t>Golden Hill</t>
        </is>
      </c>
      <c r="D14" s="6" t="n">
        <v>1</v>
      </c>
      <c r="E14" s="6" t="inlineStr">
        <is>
          <t>Rủ anh em, họ hàng mua gần nhau</t>
        </is>
      </c>
      <c r="F14" s="6" t="inlineStr">
        <is>
          <t>🏡 BÀ CON XUÂN LƯƠNG, CHỈ VỚI 500 TRIỆU ĐÃ SỞ HỮU LÔ ĐẤT</t>
        </is>
      </c>
      <c r="G14" s="6" t="inlineStr">
        <is>
          <t>Người tìm đất xây nhà</t>
        </is>
      </c>
      <c r="H14" s="6" t="inlineStr">
        <is>
          <t>YT103</t>
        </is>
      </c>
      <c r="I14" s="6" t="inlineStr">
        <is>
          <t>XÃ XUÂN LƯƠNG - TỈNH BẮC NINH (Xuân Lương -Canh Nậu- Đồng Tiến )</t>
        </is>
      </c>
      <c r="J14" s="6" t="inlineStr">
        <is>
          <t>Cộng đồng / hội</t>
        </is>
      </c>
      <c r="K14" s="8" t="n">
        <v>11000</v>
      </c>
      <c r="L14" s="6" t="inlineStr">
        <is>
          <t>3 ảnh</t>
        </is>
      </c>
      <c r="M14" s="6" t="inlineStr">
        <is>
          <t>Có</t>
        </is>
      </c>
      <c r="N14" s="6" t="inlineStr">
        <is>
          <t>Hẹn đăng</t>
        </is>
      </c>
      <c r="O14" s="6" t="n">
        <v>390</v>
      </c>
      <c r="P14" s="6" t="n">
        <v>100</v>
      </c>
    </row>
    <row r="15">
      <c r="A15" s="6" t="inlineStr">
        <is>
          <t>T5 29/10</t>
        </is>
      </c>
      <c r="B15" s="6" t="inlineStr">
        <is>
          <t>08:26</t>
        </is>
      </c>
      <c r="C15" s="6" t="inlineStr">
        <is>
          <t>Golden Hill</t>
        </is>
      </c>
      <c r="D15" s="6" t="n">
        <v>2</v>
      </c>
      <c r="E15" s="6" t="inlineStr">
        <is>
          <t>Hai vợ chồng cùng đi xem</t>
        </is>
      </c>
      <c r="F15" s="6" t="inlineStr">
        <is>
          <t>🏠 THUÊ TRỌ MÃI RỒI? CHỈ VỚI 500 TRIỆU ĐÃ SỞ HỮU LÔ ĐẤT</t>
        </is>
      </c>
      <c r="G15" s="6" t="inlineStr">
        <is>
          <t>Người tìm đất xây nhà</t>
        </is>
      </c>
      <c r="H15" s="6" t="inlineStr">
        <is>
          <t>KC46</t>
        </is>
      </c>
      <c r="I15" s="6" t="inlineStr">
        <is>
          <t>Nhà Trọ KCN Đình Trám, Quang Châu, Vân Trung, Song Khê</t>
        </is>
      </c>
      <c r="J15" s="6" t="inlineStr">
        <is>
          <t>KCN / nhà trọ</t>
        </is>
      </c>
      <c r="K15" s="8" t="n">
        <v>121000</v>
      </c>
      <c r="L15" s="6" t="inlineStr">
        <is>
          <t>3 ảnh</t>
        </is>
      </c>
      <c r="M15" s="6" t="inlineStr">
        <is>
          <t>Có</t>
        </is>
      </c>
      <c r="N15" s="6" t="inlineStr">
        <is>
          <t>Hẹn đăng</t>
        </is>
      </c>
      <c r="O15" s="6" t="n">
        <v>391</v>
      </c>
      <c r="P15" s="6" t="n">
        <v>539</v>
      </c>
    </row>
    <row r="16">
      <c r="A16" s="6" t="inlineStr">
        <is>
          <t>T5 29/10</t>
        </is>
      </c>
      <c r="B16" s="6" t="inlineStr">
        <is>
          <t>10:15</t>
        </is>
      </c>
      <c r="C16" s="6" t="inlineStr">
        <is>
          <t>Sun City (cho thuê)</t>
        </is>
      </c>
      <c r="D16" s="6" t="n">
        <v>0</v>
      </c>
      <c r="E16" s="6" t="inlineStr">
        <is>
          <t>Cho thuê văn phòng Sun City</t>
        </is>
      </c>
      <c r="F16" s="6" t="inlineStr">
        <is>
          <t>🏢 MẶT BẰNG 1.200 M² TẦNG 2 SUN CITY: LÀM VĂN PHÒNG, TRUNG TÂM ĐÀO TẠO ĐỀU HỢP</t>
        </is>
      </c>
      <c r="G16" s="6" t="inlineStr">
        <is>
          <t>doanh-nghiep-tim-van-phong</t>
        </is>
      </c>
      <c r="H16" s="6" t="inlineStr">
        <is>
          <t>SC04</t>
        </is>
      </c>
      <c r="I16" s="6" t="inlineStr">
        <is>
          <t>BẤT ĐỘNG SẢN BẮC GIANG</t>
        </is>
      </c>
      <c r="J16" s="6" t="inlineStr">
        <is>
          <t>Nhà đất / BĐS</t>
        </is>
      </c>
      <c r="K16" s="8" t="n">
        <v>235000</v>
      </c>
      <c r="L16" s="6" t="inlineStr">
        <is>
          <t>Video</t>
        </is>
      </c>
      <c r="M16" s="6" t="inlineStr">
        <is>
          <t>Không</t>
        </is>
      </c>
      <c r="N16" s="6" t="inlineStr">
        <is>
          <t>Hẹn đăng</t>
        </is>
      </c>
      <c r="O16" s="6" t="n">
        <v>388</v>
      </c>
      <c r="P16" s="6" t="n">
        <v>763</v>
      </c>
    </row>
    <row r="17">
      <c r="A17" s="6" t="inlineStr">
        <is>
          <t>T5 29/10</t>
        </is>
      </c>
      <c r="B17" s="6" t="inlineStr">
        <is>
          <t>10:35</t>
        </is>
      </c>
      <c r="C17" s="6" t="inlineStr">
        <is>
          <t>Golden Hill</t>
        </is>
      </c>
      <c r="D17" s="6" t="n">
        <v>6</v>
      </c>
      <c r="E17" s="6" t="inlineStr">
        <is>
          <t>Dạo một vòng bằng flycam</t>
        </is>
      </c>
      <c r="F17" s="6" t="inlineStr">
        <is>
          <t>🔆 ĐANG ĐI CA? CHỈ VỚI 500 TRIỆU ĐÃ SỞ HỮU LÔ ĐẤT</t>
        </is>
      </c>
      <c r="G17" s="6" t="inlineStr">
        <is>
          <t>Người tìm đất xây nhà</t>
        </is>
      </c>
      <c r="H17" s="6" t="inlineStr">
        <is>
          <t>KC47</t>
        </is>
      </c>
      <c r="I17" s="6" t="inlineStr">
        <is>
          <t>KCN QUANG CHÂU - VIỆT YÊN - BẮC GIANG</t>
        </is>
      </c>
      <c r="J17" s="6" t="inlineStr">
        <is>
          <t>KCN / nhà trọ</t>
        </is>
      </c>
      <c r="K17" s="8" t="n">
        <v>62000</v>
      </c>
      <c r="L17" s="6" t="inlineStr">
        <is>
          <t>3 ảnh</t>
        </is>
      </c>
      <c r="M17" s="6" t="inlineStr">
        <is>
          <t>Có</t>
        </is>
      </c>
      <c r="N17" s="6" t="inlineStr">
        <is>
          <t>Hẹn đăng</t>
        </is>
      </c>
      <c r="O17" s="6" t="n">
        <v>393</v>
      </c>
      <c r="P17" s="6" t="n">
        <v>545</v>
      </c>
    </row>
    <row r="18">
      <c r="A18" s="6" t="inlineStr">
        <is>
          <t>T5 29/10</t>
        </is>
      </c>
      <c r="B18" s="6" t="inlineStr">
        <is>
          <t>12:21</t>
        </is>
      </c>
      <c r="C18" s="6" t="inlineStr">
        <is>
          <t>Golden Hill</t>
        </is>
      </c>
      <c r="D18" s="6" t="n">
        <v>7</v>
      </c>
      <c r="E18" s="6" t="inlineStr">
        <is>
          <t>Hỏi nhanh – đáp nhanh</t>
        </is>
      </c>
      <c r="F18" s="6" t="inlineStr">
        <is>
          <t>❓ VÀI CÂU HỎI ĐÁP, CHỈ VỚI 500 TRIỆU ĐÃ SỞ HỮU LÔ ĐẤT</t>
        </is>
      </c>
      <c r="G18" s="6" t="inlineStr">
        <is>
          <t>Người tìm đất xây nhà</t>
        </is>
      </c>
      <c r="H18" s="6" t="inlineStr">
        <is>
          <t>YT104</t>
        </is>
      </c>
      <c r="I18" s="6" t="inlineStr">
        <is>
          <t>Cộng đồng người Yên Thế - Bắc Giang</t>
        </is>
      </c>
      <c r="J18" s="6" t="inlineStr">
        <is>
          <t>Cộng đồng / hội</t>
        </is>
      </c>
      <c r="K18" s="8" t="n">
        <v>9900</v>
      </c>
      <c r="L18" s="6" t="inlineStr">
        <is>
          <t>3 ảnh</t>
        </is>
      </c>
      <c r="M18" s="6" t="inlineStr">
        <is>
          <t>Có</t>
        </is>
      </c>
      <c r="N18" s="6" t="inlineStr">
        <is>
          <t>Hẹn đăng</t>
        </is>
      </c>
      <c r="O18" s="6" t="n">
        <v>394</v>
      </c>
      <c r="P18" s="6" t="n">
        <v>738</v>
      </c>
    </row>
    <row r="19">
      <c r="A19" s="6" t="inlineStr">
        <is>
          <t>T5 29/10</t>
        </is>
      </c>
      <c r="B19" s="6" t="inlineStr">
        <is>
          <t>13:58</t>
        </is>
      </c>
      <c r="C19" s="6" t="inlineStr">
        <is>
          <t>Golden Hill</t>
        </is>
      </c>
      <c r="D19" s="6" t="n">
        <v>8</v>
      </c>
      <c r="E19" s="6" t="inlineStr">
        <is>
          <t>Làm KCN, về quê có đất</t>
        </is>
      </c>
      <c r="F19" s="6" t="inlineStr">
        <is>
          <t>🏡 LÀM KCN, VỀ QUÊ? CHỈ VỚI 500 TRIỆU ĐÃ SỞ HỮU LÔ ĐẤT</t>
        </is>
      </c>
      <c r="G19" s="6" t="inlineStr">
        <is>
          <t>Người tìm đất xây nhà</t>
        </is>
      </c>
      <c r="H19" s="6" t="inlineStr">
        <is>
          <t>KC48</t>
        </is>
      </c>
      <c r="I19" s="6" t="inlineStr">
        <is>
          <t>NHÀ TRỌ KCN ĐÌNH TRÁM, VÂN TRUNG, QUANG CHÂU</t>
        </is>
      </c>
      <c r="J19" s="6" t="inlineStr">
        <is>
          <t>KCN / nhà trọ</t>
        </is>
      </c>
      <c r="K19" s="8" t="n">
        <v>66000</v>
      </c>
      <c r="L19" s="6" t="inlineStr">
        <is>
          <t>3 ảnh</t>
        </is>
      </c>
      <c r="M19" s="6" t="inlineStr">
        <is>
          <t>Có</t>
        </is>
      </c>
      <c r="N19" s="6" t="inlineStr">
        <is>
          <t>Hẹn đăng</t>
        </is>
      </c>
      <c r="O19" s="6" t="n">
        <v>395</v>
      </c>
      <c r="P19" s="6" t="n">
        <v>543</v>
      </c>
    </row>
    <row r="20">
      <c r="A20" s="6" t="inlineStr">
        <is>
          <t>T5 29/10</t>
        </is>
      </c>
      <c r="B20" s="6" t="inlineStr">
        <is>
          <t>14:46</t>
        </is>
      </c>
      <c r="C20" s="6" t="inlineStr">
        <is>
          <t>Golden Hill</t>
        </is>
      </c>
      <c r="D20" s="6" t="n">
        <v>9</v>
      </c>
      <c r="E20" s="6" t="inlineStr">
        <is>
          <t>Khu dân cư mới giữa trung tâm xã</t>
        </is>
      </c>
      <c r="F20" s="6" t="inlineStr">
        <is>
          <t>📍 KHU DÂN CƯ MỚI: CHỈ VỚI 500 TRIỆU ĐÃ SỞ HỮU LÔ ĐẤT</t>
        </is>
      </c>
      <c r="G20" s="6" t="inlineStr">
        <is>
          <t>Người tìm đất xây nhà</t>
        </is>
      </c>
      <c r="H20" s="6" t="inlineStr">
        <is>
          <t>TY77</t>
        </is>
      </c>
      <c r="I20" s="6" t="inlineStr">
        <is>
          <t>Chợ Mọc Tân Yên Bắc Giang</t>
        </is>
      </c>
      <c r="J20" s="6" t="inlineStr">
        <is>
          <t>Chợ địa phương</t>
        </is>
      </c>
      <c r="K20" s="8" t="n">
        <v>78000</v>
      </c>
      <c r="L20" s="6" t="inlineStr">
        <is>
          <t>3 ảnh</t>
        </is>
      </c>
      <c r="M20" s="6" t="inlineStr">
        <is>
          <t>Có</t>
        </is>
      </c>
      <c r="N20" s="6" t="inlineStr">
        <is>
          <t>Hẹn đăng</t>
        </is>
      </c>
      <c r="O20" s="6" t="n">
        <v>396</v>
      </c>
      <c r="P20" s="6" t="n">
        <v>137</v>
      </c>
    </row>
    <row r="21">
      <c r="A21" s="6" t="inlineStr">
        <is>
          <t>T5 29/10</t>
        </is>
      </c>
      <c r="B21" s="6" t="inlineStr">
        <is>
          <t>15:40</t>
        </is>
      </c>
      <c r="C21" s="6" t="inlineStr">
        <is>
          <t>Sun City (cho thuê)</t>
        </is>
      </c>
      <c r="D21" s="6" t="n">
        <v>0</v>
      </c>
      <c r="E21" s="6" t="inlineStr">
        <is>
          <t>Cho thuê văn phòng Sun City</t>
        </is>
      </c>
      <c r="F21" s="6" t="inlineStr">
        <is>
          <t>📍 CHO THUÊ VĂN PHÒNG MẶT TIỀN HÙNG VƯƠNG, GẦN UBND VÀ TRUNG TÂM HÀNH CHÍNH CÔNG</t>
        </is>
      </c>
      <c r="G21" s="6" t="inlineStr">
        <is>
          <t>doanh-nghiep-tim-van-phong</t>
        </is>
      </c>
      <c r="H21" s="6" t="inlineStr">
        <is>
          <t>SC05</t>
        </is>
      </c>
      <c r="I21" s="6" t="inlineStr">
        <is>
          <t>MUA BÁN VÀ CHO THUÊ NHÀ ĐẤT BẮC GIANG</t>
        </is>
      </c>
      <c r="J21" s="6" t="inlineStr">
        <is>
          <t>Nhà đất / BĐS</t>
        </is>
      </c>
      <c r="K21" s="8" t="n">
        <v>225000</v>
      </c>
      <c r="L21" s="6" t="inlineStr">
        <is>
          <t>Video</t>
        </is>
      </c>
      <c r="M21" s="6" t="inlineStr">
        <is>
          <t>Không</t>
        </is>
      </c>
      <c r="N21" s="6" t="inlineStr">
        <is>
          <t>Hẹn đăng</t>
        </is>
      </c>
      <c r="O21" s="6" t="n">
        <v>389</v>
      </c>
      <c r="P21" s="6" t="n">
        <v>750</v>
      </c>
    </row>
    <row r="22">
      <c r="A22" s="6" t="inlineStr">
        <is>
          <t>T5 29/10</t>
        </is>
      </c>
      <c r="B22" s="6" t="inlineStr">
        <is>
          <t>17:10</t>
        </is>
      </c>
      <c r="C22" s="6" t="inlineStr">
        <is>
          <t>Golden Hill</t>
        </is>
      </c>
      <c r="D22" s="6" t="n">
        <v>11</v>
      </c>
      <c r="E22" s="6" t="inlineStr">
        <is>
          <t>Vẫn có khách giao dịch, CĐT dẫn đi xem</t>
        </is>
      </c>
      <c r="F22" s="6" t="inlineStr">
        <is>
          <t>🔥 DẪN XEM TRỰC TIẾP, CHỈ VỚI 500 TRIỆU ĐÃ SỞ HỮU LÔ ĐẤT</t>
        </is>
      </c>
      <c r="G22" s="6" t="inlineStr">
        <is>
          <t>Người tìm đất xây nhà</t>
        </is>
      </c>
      <c r="H22" s="6" t="inlineStr">
        <is>
          <t>YT105</t>
        </is>
      </c>
      <c r="I22" s="6" t="inlineStr">
        <is>
          <t>Yên Thế Bắc Giang</t>
        </is>
      </c>
      <c r="J22" s="6" t="inlineStr">
        <is>
          <t>Cộng đồng / hội</t>
        </is>
      </c>
      <c r="K22" s="8" t="n">
        <v>7300</v>
      </c>
      <c r="L22" s="6" t="inlineStr">
        <is>
          <t>3 ảnh</t>
        </is>
      </c>
      <c r="M22" s="6" t="inlineStr">
        <is>
          <t>Có</t>
        </is>
      </c>
      <c r="N22" s="6" t="inlineStr">
        <is>
          <t>Hẹn đăng</t>
        </is>
      </c>
      <c r="O22" s="6" t="n">
        <v>398</v>
      </c>
      <c r="P22" s="6" t="n">
        <v>48</v>
      </c>
    </row>
    <row r="23">
      <c r="A23" s="6" t="inlineStr">
        <is>
          <t>T5 29/10</t>
        </is>
      </c>
      <c r="B23" s="6" t="inlineStr">
        <is>
          <t>18:39</t>
        </is>
      </c>
      <c r="C23" s="6" t="inlineStr">
        <is>
          <t>Golden Hill</t>
        </is>
      </c>
      <c r="D23" s="6" t="n">
        <v>12</v>
      </c>
      <c r="E23" s="6" t="inlineStr">
        <is>
          <t>Người các xã lân cận</t>
        </is>
      </c>
      <c r="F23" s="6" t="inlineStr">
        <is>
          <t>📍 QUÊ BỐ HẠ? CHỈ VỚI 500 TRIỆU ĐÃ SỞ HỮU LÔ ĐẤT</t>
        </is>
      </c>
      <c r="G23" s="6" t="inlineStr">
        <is>
          <t>Người tìm đất xây nhà</t>
        </is>
      </c>
      <c r="H23" s="6" t="inlineStr">
        <is>
          <t>KC50</t>
        </is>
      </c>
      <c r="I23" s="6" t="inlineStr">
        <is>
          <t>Nhà trọ quang châu</t>
        </is>
      </c>
      <c r="J23" s="6" t="inlineStr">
        <is>
          <t>KCN / nhà trọ</t>
        </is>
      </c>
      <c r="K23" s="8" t="n">
        <v>63000</v>
      </c>
      <c r="L23" s="6" t="inlineStr">
        <is>
          <t>3 ảnh</t>
        </is>
      </c>
      <c r="M23" s="6" t="inlineStr">
        <is>
          <t>Có</t>
        </is>
      </c>
      <c r="N23" s="6" t="inlineStr">
        <is>
          <t>Hẹn đăng</t>
        </is>
      </c>
      <c r="O23" s="6" t="n">
        <v>399</v>
      </c>
      <c r="P23" s="6" t="n">
        <v>544</v>
      </c>
    </row>
    <row r="24">
      <c r="A24" s="6" t="inlineStr">
        <is>
          <t>T5 29/10</t>
        </is>
      </c>
      <c r="B24" s="6" t="inlineStr">
        <is>
          <t>20:32</t>
        </is>
      </c>
      <c r="C24" s="6" t="inlineStr">
        <is>
          <t>Golden Hill</t>
        </is>
      </c>
      <c r="D24" s="6" t="n">
        <v>5</v>
      </c>
      <c r="E24" s="6" t="inlineStr">
        <is>
          <t>Tối cho con ra quảng trường chơi</t>
        </is>
      </c>
      <c r="F24" s="6" t="inlineStr">
        <is>
          <t>✨ QUẢNG TRƯỜNG SÁNG ĐÈN: CHỈ VỚI 500 TRIỆU ĐÃ SỞ HỮU LÔ ĐẤT</t>
        </is>
      </c>
      <c r="G24" s="6" t="inlineStr">
        <is>
          <t>Người tìm đất xây nhà</t>
        </is>
      </c>
      <c r="H24" s="6" t="inlineStr">
        <is>
          <t>TY78</t>
        </is>
      </c>
      <c r="I24" s="6" t="inlineStr">
        <is>
          <t>Bất Động Sản Tân Yên - Bắc Giang</t>
        </is>
      </c>
      <c r="J24" s="6" t="inlineStr">
        <is>
          <t>Nhà đất / BĐS</t>
        </is>
      </c>
      <c r="K24" s="8" t="n">
        <v>14000</v>
      </c>
      <c r="L24" s="6" t="inlineStr">
        <is>
          <t>3 ảnh</t>
        </is>
      </c>
      <c r="M24" s="6" t="inlineStr">
        <is>
          <t>Có</t>
        </is>
      </c>
      <c r="N24" s="6" t="inlineStr">
        <is>
          <t>Hẹn đăng</t>
        </is>
      </c>
      <c r="O24" s="6" t="n">
        <v>400</v>
      </c>
      <c r="P24" s="6" t="n">
        <v>18</v>
      </c>
    </row>
    <row r="25">
      <c r="A25" s="6" t="inlineStr">
        <is>
          <t>T5 29/10</t>
        </is>
      </c>
      <c r="B25" s="6" t="inlineStr">
        <is>
          <t>21:47</t>
        </is>
      </c>
      <c r="C25" s="6" t="inlineStr">
        <is>
          <t>Golden Hill</t>
        </is>
      </c>
      <c r="D25" s="6" t="n">
        <v>5</v>
      </c>
      <c r="E25" s="6" t="inlineStr">
        <is>
          <t>Tối cho con ra quảng trường chơi</t>
        </is>
      </c>
      <c r="F25" s="6" t="inlineStr">
        <is>
          <t>🌙 QUẢNG TRƯỜNG BUỔI TỐI: CHỈ VỚI 500 TRIỆU ĐÃ SỞ HỮU LÔ ĐẤT</t>
        </is>
      </c>
      <c r="G25" s="6" t="inlineStr">
        <is>
          <t>Người tìm đất xây nhà</t>
        </is>
      </c>
      <c r="H25" s="6" t="inlineStr">
        <is>
          <t>KC51</t>
        </is>
      </c>
      <c r="I25" s="6" t="inlineStr">
        <is>
          <t>FUYU HỒNG HẢI - KCN QUANG CHÂU - BẮC GIANG</t>
        </is>
      </c>
      <c r="J25" s="6" t="inlineStr">
        <is>
          <t>KCN / nhà trọ</t>
        </is>
      </c>
      <c r="K25" s="8" t="n">
        <v>35000</v>
      </c>
      <c r="L25" s="6" t="inlineStr">
        <is>
          <t>3 ảnh</t>
        </is>
      </c>
      <c r="M25" s="6" t="inlineStr">
        <is>
          <t>Có</t>
        </is>
      </c>
      <c r="N25" s="6" t="inlineStr">
        <is>
          <t>Hẹn đăng</t>
        </is>
      </c>
      <c r="O25" s="6" t="n">
        <v>401</v>
      </c>
      <c r="P25" s="6" t="n">
        <v>558</v>
      </c>
    </row>
    <row r="26">
      <c r="A26" s="6" t="inlineStr">
        <is>
          <t>T6 30/10</t>
        </is>
      </c>
      <c r="B26" s="6" t="inlineStr">
        <is>
          <t>07:00</t>
        </is>
      </c>
      <c r="C26" s="6" t="inlineStr">
        <is>
          <t>Golden Hill</t>
        </is>
      </c>
      <c r="D26" s="6" t="n">
        <v>4</v>
      </c>
      <c r="E26" s="6" t="inlineStr">
        <is>
          <t>Tết về quê có đất riêng</t>
        </is>
      </c>
      <c r="F26" s="6" t="inlineStr">
        <is>
          <t>🧧 MONG TẾT VỀ QUÊ: CHỈ VỚI 500 TRIỆU ĐÃ SỞ HỮU LÔ ĐẤT</t>
        </is>
      </c>
      <c r="G26" s="6" t="inlineStr">
        <is>
          <t>Người tìm đất xây nhà</t>
        </is>
      </c>
      <c r="H26" s="6" t="inlineStr">
        <is>
          <t>TY79</t>
        </is>
      </c>
      <c r="I26" s="6" t="inlineStr">
        <is>
          <t>Tân Yên - Bắc Giang</t>
        </is>
      </c>
      <c r="J26" s="6" t="inlineStr">
        <is>
          <t>Cộng đồng / hội</t>
        </is>
      </c>
      <c r="K26" s="8" t="n">
        <v>20000</v>
      </c>
      <c r="L26" s="6" t="inlineStr">
        <is>
          <t>3 ảnh</t>
        </is>
      </c>
      <c r="M26" s="6" t="inlineStr">
        <is>
          <t>Có</t>
        </is>
      </c>
      <c r="N26" s="6" t="inlineStr">
        <is>
          <t>Hẹn đăng</t>
        </is>
      </c>
      <c r="O26" s="6" t="n">
        <v>402</v>
      </c>
      <c r="P26" s="6" t="n">
        <v>783</v>
      </c>
    </row>
    <row r="27">
      <c r="A27" s="6" t="inlineStr">
        <is>
          <t>T6 30/10</t>
        </is>
      </c>
      <c r="B27" s="6" t="inlineStr">
        <is>
          <t>08:38</t>
        </is>
      </c>
      <c r="C27" s="6" t="inlineStr">
        <is>
          <t>Golden Hill</t>
        </is>
      </c>
      <c r="D27" s="6" t="n">
        <v>1</v>
      </c>
      <c r="E27" s="6" t="inlineStr">
        <is>
          <t>Rủ anh em, họ hàng mua gần nhau</t>
        </is>
      </c>
      <c r="F27" s="6" t="inlineStr">
        <is>
          <t>🤝 ANH EM ĐI XEM: CHỈ VỚI 500 TRIỆU ĐÃ SỞ HỮU LÔ ĐẤT</t>
        </is>
      </c>
      <c r="G27" s="6" t="inlineStr">
        <is>
          <t>Người tìm đất xây nhà</t>
        </is>
      </c>
      <c r="H27" s="6" t="inlineStr">
        <is>
          <t>KC52</t>
        </is>
      </c>
      <c r="I27" s="6" t="inlineStr">
        <is>
          <t>Chợ Vân Cốc, Trung Đồng Vân Trung</t>
        </is>
      </c>
      <c r="J27" s="6" t="inlineStr">
        <is>
          <t>Chợ địa phương</t>
        </is>
      </c>
      <c r="K27" s="8" t="n">
        <v>62000</v>
      </c>
      <c r="L27" s="6" t="inlineStr">
        <is>
          <t>3 ảnh</t>
        </is>
      </c>
      <c r="M27" s="6" t="inlineStr">
        <is>
          <t>Có</t>
        </is>
      </c>
      <c r="N27" s="6" t="inlineStr">
        <is>
          <t>Hẹn đăng</t>
        </is>
      </c>
      <c r="O27" s="6" t="n">
        <v>403</v>
      </c>
      <c r="P27" s="6" t="n">
        <v>546</v>
      </c>
    </row>
    <row r="28">
      <c r="A28" s="6" t="inlineStr">
        <is>
          <t>T6 30/10</t>
        </is>
      </c>
      <c r="B28" s="6" t="inlineStr">
        <is>
          <t>09:57</t>
        </is>
      </c>
      <c r="C28" s="6" t="inlineStr">
        <is>
          <t>Golden Hill</t>
        </is>
      </c>
      <c r="D28" s="6" t="n">
        <v>2</v>
      </c>
      <c r="E28" s="6" t="inlineStr">
        <is>
          <t>Hai vợ chồng cùng đi xem</t>
        </is>
      </c>
      <c r="F28" s="6" t="inlineStr">
        <is>
          <t>💑 VỢ CHỒNG CÙNG XEM: CHỈ VỚI 500 TRIỆU ĐÃ SỞ HỮU LÔ ĐẤT</t>
        </is>
      </c>
      <c r="G28" s="6" t="inlineStr">
        <is>
          <t>Người tìm đất xây nhà</t>
        </is>
      </c>
      <c r="H28" s="6" t="inlineStr">
        <is>
          <t>TY80</t>
        </is>
      </c>
      <c r="I28" s="6" t="inlineStr">
        <is>
          <t>Chợ Tân Yên - Bắc Giang</t>
        </is>
      </c>
      <c r="J28" s="6" t="inlineStr">
        <is>
          <t>Chợ địa phương</t>
        </is>
      </c>
      <c r="K28" s="8" t="n">
        <v>50000</v>
      </c>
      <c r="L28" s="6" t="inlineStr">
        <is>
          <t>3 ảnh</t>
        </is>
      </c>
      <c r="M28" s="6" t="inlineStr">
        <is>
          <t>Có</t>
        </is>
      </c>
      <c r="N28" s="6" t="inlineStr">
        <is>
          <t>Hẹn đăng</t>
        </is>
      </c>
      <c r="O28" s="6" t="n">
        <v>404</v>
      </c>
      <c r="P28" s="6" t="n">
        <v>115</v>
      </c>
    </row>
    <row r="29">
      <c r="A29" s="6" t="inlineStr">
        <is>
          <t>T6 30/10</t>
        </is>
      </c>
      <c r="B29" s="6" t="inlineStr">
        <is>
          <t>10:53</t>
        </is>
      </c>
      <c r="C29" s="6" t="inlineStr">
        <is>
          <t>Golden Hill</t>
        </is>
      </c>
      <c r="D29" s="6" t="n">
        <v>3</v>
      </c>
      <c r="E29" s="6" t="inlineStr">
        <is>
          <t>Đất làm nhà cưới cho con</t>
        </is>
      </c>
      <c r="F29" s="6" t="inlineStr">
        <is>
          <t>💍 ĐẤT LÀM NHÀ CƯỚI: CHỈ VỚI 500 TRIỆU ĐÃ SỞ HỮU LÔ ĐẤT</t>
        </is>
      </c>
      <c r="G29" s="6" t="inlineStr">
        <is>
          <t>Người tìm đất xây nhà</t>
        </is>
      </c>
      <c r="H29" s="6" t="inlineStr">
        <is>
          <t>YT106</t>
        </is>
      </c>
      <c r="I29" s="6" t="inlineStr">
        <is>
          <t>Yên Thế - Bắc Giang</t>
        </is>
      </c>
      <c r="J29" s="6" t="inlineStr">
        <is>
          <t>Cộng đồng / hội</t>
        </is>
      </c>
      <c r="K29" s="8" t="n">
        <v>7900</v>
      </c>
      <c r="L29" s="6" t="inlineStr">
        <is>
          <t>3 ảnh</t>
        </is>
      </c>
      <c r="M29" s="6" t="inlineStr">
        <is>
          <t>Có</t>
        </is>
      </c>
      <c r="N29" s="6" t="inlineStr">
        <is>
          <t>Hẹn đăng</t>
        </is>
      </c>
      <c r="O29" s="6" t="n">
        <v>405</v>
      </c>
      <c r="P29" s="6" t="n">
        <v>785</v>
      </c>
    </row>
    <row r="30">
      <c r="A30" s="6" t="inlineStr">
        <is>
          <t>T6 30/10</t>
        </is>
      </c>
      <c r="B30" s="6" t="inlineStr">
        <is>
          <t>12:10</t>
        </is>
      </c>
      <c r="C30" s="6" t="inlineStr">
        <is>
          <t>Golden Hill</t>
        </is>
      </c>
      <c r="D30" s="6" t="n">
        <v>6</v>
      </c>
      <c r="E30" s="6" t="inlineStr">
        <is>
          <t>Dạo một vòng bằng flycam</t>
        </is>
      </c>
      <c r="F30" s="6" t="inlineStr">
        <is>
          <t>🔭 NHÌN TỪ TRÊN CAO: CHỈ VỚI 500 TRIỆU ĐÃ SỞ HỮU LÔ ĐẤT</t>
        </is>
      </c>
      <c r="G30" s="6" t="inlineStr">
        <is>
          <t>Người tìm đất xây nhà</t>
        </is>
      </c>
      <c r="H30" s="6" t="inlineStr">
        <is>
          <t>TY81</t>
        </is>
      </c>
      <c r="I30" s="6" t="inlineStr">
        <is>
          <t>Người Tân Yên</t>
        </is>
      </c>
      <c r="J30" s="6" t="inlineStr">
        <is>
          <t>Cộng đồng / hội</t>
        </is>
      </c>
      <c r="K30" s="8" t="n">
        <v>18000</v>
      </c>
      <c r="L30" s="6" t="inlineStr">
        <is>
          <t>3 ảnh</t>
        </is>
      </c>
      <c r="M30" s="6" t="inlineStr">
        <is>
          <t>Có</t>
        </is>
      </c>
      <c r="N30" s="6" t="inlineStr">
        <is>
          <t>Hẹn đăng</t>
        </is>
      </c>
      <c r="O30" s="6" t="n">
        <v>406</v>
      </c>
      <c r="P30" s="6" t="n">
        <v>784</v>
      </c>
    </row>
    <row r="31">
      <c r="A31" s="6" t="inlineStr">
        <is>
          <t>T6 30/10</t>
        </is>
      </c>
      <c r="B31" s="6" t="inlineStr">
        <is>
          <t>13:59</t>
        </is>
      </c>
      <c r="C31" s="6" t="inlineStr">
        <is>
          <t>Golden Hill</t>
        </is>
      </c>
      <c r="D31" s="6" t="n">
        <v>7</v>
      </c>
      <c r="E31" s="6" t="inlineStr">
        <is>
          <t>Hỏi nhanh – đáp nhanh</t>
        </is>
      </c>
      <c r="F31" s="6" t="inlineStr">
        <is>
          <t>💬 HỎI ĐÁP NHANH: CHỈ VỚI 500 TRIỆU ĐÃ SỞ HỮU LÔ ĐẤT</t>
        </is>
      </c>
      <c r="G31" s="6" t="inlineStr">
        <is>
          <t>Người tìm đất xây nhà</t>
        </is>
      </c>
      <c r="H31" s="6" t="inlineStr">
        <is>
          <t>KC53</t>
        </is>
      </c>
      <c r="I31" s="6" t="inlineStr">
        <is>
          <t>Rao Vặt + Ăn Vặt Chợ Phước Yên - KCN Hòa Phú Có Ship</t>
        </is>
      </c>
      <c r="J31" s="6" t="inlineStr">
        <is>
          <t>KCN / nhà trọ</t>
        </is>
      </c>
      <c r="K31" s="8" t="n">
        <v>59000</v>
      </c>
      <c r="L31" s="6" t="inlineStr">
        <is>
          <t>3 ảnh</t>
        </is>
      </c>
      <c r="M31" s="6" t="inlineStr">
        <is>
          <t>Có</t>
        </is>
      </c>
      <c r="N31" s="6" t="inlineStr">
        <is>
          <t>Hẹn đăng</t>
        </is>
      </c>
      <c r="O31" s="6" t="n">
        <v>407</v>
      </c>
      <c r="P31" s="6" t="n">
        <v>547</v>
      </c>
    </row>
    <row r="32">
      <c r="A32" s="6" t="inlineStr">
        <is>
          <t>T6 30/10</t>
        </is>
      </c>
      <c r="B32" s="6" t="inlineStr">
        <is>
          <t>14:31</t>
        </is>
      </c>
      <c r="C32" s="6" t="inlineStr">
        <is>
          <t>Golden Hill</t>
        </is>
      </c>
      <c r="D32" s="6" t="n">
        <v>8</v>
      </c>
      <c r="E32" s="6" t="inlineStr">
        <is>
          <t>Làm KCN, về quê có đất</t>
        </is>
      </c>
      <c r="F32" s="6" t="inlineStr">
        <is>
          <t>🚀 ĐI CA, DÀNH DỤM: CHỈ VỚI 500 TRIỆU ĐÃ SỞ HỮU LÔ ĐẤT</t>
        </is>
      </c>
      <c r="G32" s="6" t="inlineStr">
        <is>
          <t>Người tìm đất xây nhà</t>
        </is>
      </c>
      <c r="H32" s="6" t="inlineStr">
        <is>
          <t>TY82</t>
        </is>
      </c>
      <c r="I32" s="6" t="inlineStr">
        <is>
          <t>BDS Tân yên Bắc Ninh</t>
        </is>
      </c>
      <c r="J32" s="6" t="inlineStr">
        <is>
          <t>Nhà đất / BĐS</t>
        </is>
      </c>
      <c r="K32" s="8" t="n">
        <v>50000</v>
      </c>
      <c r="L32" s="6" t="inlineStr">
        <is>
          <t>3 ảnh</t>
        </is>
      </c>
      <c r="M32" s="6" t="inlineStr">
        <is>
          <t>Có</t>
        </is>
      </c>
      <c r="N32" s="6" t="inlineStr">
        <is>
          <t>Hẹn đăng</t>
        </is>
      </c>
      <c r="O32" s="6" t="n">
        <v>408</v>
      </c>
      <c r="P32" s="6" t="n">
        <v>111</v>
      </c>
    </row>
    <row r="33">
      <c r="A33" s="6" t="inlineStr">
        <is>
          <t>T6 30/10</t>
        </is>
      </c>
      <c r="B33" s="6" t="inlineStr">
        <is>
          <t>16:07</t>
        </is>
      </c>
      <c r="C33" s="6" t="inlineStr">
        <is>
          <t>Golden Hill</t>
        </is>
      </c>
      <c r="D33" s="6" t="n">
        <v>9</v>
      </c>
      <c r="E33" s="6" t="inlineStr">
        <is>
          <t>Khu dân cư mới giữa trung tâm xã</t>
        </is>
      </c>
      <c r="F33" s="6" t="inlineStr">
        <is>
          <t>🐔 HỘI NUÔI GÀ ĐỒI: CHỈ VỚI 500 TRIỆU ĐÃ SỞ HỮU LÔ ĐẤT</t>
        </is>
      </c>
      <c r="G33" s="6" t="inlineStr">
        <is>
          <t>Người tìm đất xây nhà</t>
        </is>
      </c>
      <c r="H33" s="6" t="inlineStr">
        <is>
          <t>YT107</t>
        </is>
      </c>
      <c r="I33" s="6" t="inlineStr">
        <is>
          <t>Hội chăn nuôi gà Gà Đồi Yên Thế</t>
        </is>
      </c>
      <c r="J33" s="6" t="inlineStr">
        <is>
          <t>Cộng đồng / hội</t>
        </is>
      </c>
      <c r="K33" s="8" t="n">
        <v>12000</v>
      </c>
      <c r="L33" s="6" t="inlineStr">
        <is>
          <t>3 ảnh</t>
        </is>
      </c>
      <c r="M33" s="6" t="inlineStr">
        <is>
          <t>Có</t>
        </is>
      </c>
      <c r="N33" s="6" t="inlineStr">
        <is>
          <t>Hẹn đăng</t>
        </is>
      </c>
      <c r="O33" s="6" t="n">
        <v>409</v>
      </c>
      <c r="P33" s="6" t="n">
        <v>794</v>
      </c>
    </row>
    <row r="34">
      <c r="A34" s="6" t="inlineStr">
        <is>
          <t>T6 30/10</t>
        </is>
      </c>
      <c r="B34" s="6" t="inlineStr">
        <is>
          <t>17:41</t>
        </is>
      </c>
      <c r="C34" s="6" t="inlineStr">
        <is>
          <t>Golden Hill</t>
        </is>
      </c>
      <c r="D34" s="6" t="n">
        <v>10</v>
      </c>
      <c r="E34" s="6" t="inlineStr">
        <is>
          <t>Nhìn từ trên cao / mặt đường</t>
        </is>
      </c>
      <c r="F34" s="6" t="inlineStr">
        <is>
          <t>🏡 XÃ PHÚC HOÀ ƠI, CHỈ VỚI 500 TRIỆU ĐÃ SỞ HỮU LÔ ĐẤT</t>
        </is>
      </c>
      <c r="G34" s="6" t="inlineStr">
        <is>
          <t>Người tìm đất xây nhà</t>
        </is>
      </c>
      <c r="H34" s="6" t="inlineStr">
        <is>
          <t>TY83</t>
        </is>
      </c>
      <c r="I34" s="6" t="inlineStr">
        <is>
          <t>Xã Phúc Hoà - Tỉnh Bắc Ninh ( Hợp Đức- Tân Yên-Bắc Giang)</t>
        </is>
      </c>
      <c r="J34" s="6" t="inlineStr">
        <is>
          <t>Cộng đồng / hội</t>
        </is>
      </c>
      <c r="K34" s="8" t="n">
        <v>6700</v>
      </c>
      <c r="L34" s="6" t="inlineStr">
        <is>
          <t>3 ảnh</t>
        </is>
      </c>
      <c r="M34" s="6" t="inlineStr">
        <is>
          <t>Có</t>
        </is>
      </c>
      <c r="N34" s="6" t="inlineStr">
        <is>
          <t>Hẹn đăng</t>
        </is>
      </c>
      <c r="O34" s="6" t="n">
        <v>410</v>
      </c>
      <c r="P34" s="6" t="n">
        <v>789</v>
      </c>
    </row>
    <row r="35">
      <c r="A35" s="6" t="inlineStr">
        <is>
          <t>T6 30/10</t>
        </is>
      </c>
      <c r="B35" s="6" t="inlineStr">
        <is>
          <t>19:21</t>
        </is>
      </c>
      <c r="C35" s="6" t="inlineStr">
        <is>
          <t>Golden Hill</t>
        </is>
      </c>
      <c r="D35" s="6" t="n">
        <v>5</v>
      </c>
      <c r="E35" s="6" t="inlineStr">
        <is>
          <t>Tối cho con ra quảng trường chơi</t>
        </is>
      </c>
      <c r="F35" s="6" t="inlineStr">
        <is>
          <t>🎠 CON CÓ CHỖ CHƠI: CHỈ VỚI 500 TRIỆU ĐÃ SỞ HỮU LÔ ĐẤT</t>
        </is>
      </c>
      <c r="G35" s="6" t="inlineStr">
        <is>
          <t>Người tìm đất xây nhà</t>
        </is>
      </c>
      <c r="H35" s="6" t="inlineStr">
        <is>
          <t>KC54</t>
        </is>
      </c>
      <c r="I35" s="6" t="inlineStr">
        <is>
          <t>Chợ My Điền 01,2,3 KCN Đình Trám , Vân Trung , Quang Châu , Bắc Ninh</t>
        </is>
      </c>
      <c r="J35" s="6" t="inlineStr">
        <is>
          <t>KCN / nhà trọ</t>
        </is>
      </c>
      <c r="K35" s="8" t="n">
        <v>55000</v>
      </c>
      <c r="L35" s="6" t="inlineStr">
        <is>
          <t>3 ảnh</t>
        </is>
      </c>
      <c r="M35" s="6" t="inlineStr">
        <is>
          <t>Có</t>
        </is>
      </c>
      <c r="N35" s="6" t="inlineStr">
        <is>
          <t>Hẹn đăng</t>
        </is>
      </c>
      <c r="O35" s="6" t="n">
        <v>411</v>
      </c>
      <c r="P35" s="6" t="n">
        <v>549</v>
      </c>
    </row>
    <row r="36">
      <c r="A36" s="6" t="inlineStr">
        <is>
          <t>T6 30/10</t>
        </is>
      </c>
      <c r="B36" s="6" t="inlineStr">
        <is>
          <t>20:02</t>
        </is>
      </c>
      <c r="C36" s="6" t="inlineStr">
        <is>
          <t>Golden Hill</t>
        </is>
      </c>
      <c r="D36" s="6" t="n">
        <v>5</v>
      </c>
      <c r="E36" s="6" t="inlineStr">
        <is>
          <t>Tối cho con ra quảng trường chơi</t>
        </is>
      </c>
      <c r="F36" s="6" t="inlineStr">
        <is>
          <t>🌃 ĐÔNG VUI BUỔI TỐI: CHỈ VỚI 500 TRIỆU ĐÃ SỞ HỮU LÔ ĐẤT</t>
        </is>
      </c>
      <c r="G36" s="6" t="inlineStr">
        <is>
          <t>Người tìm đất xây nhà</t>
        </is>
      </c>
      <c r="H36" s="6" t="inlineStr">
        <is>
          <t>YT108</t>
        </is>
      </c>
      <c r="I36" s="6" t="inlineStr">
        <is>
          <t>CHỢ QUÊ :CẦU GỒ - MỎ TRẠNG - XUÂN LƯƠNG - CANH NẬU</t>
        </is>
      </c>
      <c r="J36" s="6" t="inlineStr">
        <is>
          <t>Chợ địa phương</t>
        </is>
      </c>
      <c r="K36" s="8" t="n">
        <v>9700</v>
      </c>
      <c r="L36" s="6" t="inlineStr">
        <is>
          <t>3 ảnh</t>
        </is>
      </c>
      <c r="M36" s="6" t="inlineStr">
        <is>
          <t>Có</t>
        </is>
      </c>
      <c r="N36" s="6" t="inlineStr">
        <is>
          <t>Hẹn đăng</t>
        </is>
      </c>
      <c r="O36" s="6" t="n">
        <v>412</v>
      </c>
      <c r="P36" s="6" t="n">
        <v>81</v>
      </c>
    </row>
    <row r="37">
      <c r="A37" s="6" t="inlineStr">
        <is>
          <t>T6 30/10</t>
        </is>
      </c>
      <c r="B37" s="6" t="inlineStr">
        <is>
          <t>21:56</t>
        </is>
      </c>
      <c r="C37" s="6" t="inlineStr">
        <is>
          <t>Golden Hill</t>
        </is>
      </c>
      <c r="D37" s="6" t="n">
        <v>5</v>
      </c>
      <c r="E37" s="6" t="inlineStr">
        <is>
          <t>Tối cho con ra quảng trường chơi</t>
        </is>
      </c>
      <c r="F37" s="6" t="inlineStr">
        <is>
          <t>🎡 XÍCH ĐU, CẦU TRƯỢT: CHỈ VỚI 500 TRIỆU ĐÃ SỞ HỮU LÔ ĐẤT</t>
        </is>
      </c>
      <c r="G37" s="6" t="inlineStr">
        <is>
          <t>Người tìm đất xây nhà</t>
        </is>
      </c>
      <c r="H37" s="6" t="inlineStr">
        <is>
          <t>KC55</t>
        </is>
      </c>
      <c r="I37" s="6" t="inlineStr">
        <is>
          <t>KCN Đình Trám, Hoà Phú, Vân Trung, Quang Châu, Song Khê Bắc Giang</t>
        </is>
      </c>
      <c r="J37" s="6" t="inlineStr">
        <is>
          <t>KCN / nhà trọ</t>
        </is>
      </c>
      <c r="K37" s="8" t="n">
        <v>101000</v>
      </c>
      <c r="L37" s="6" t="inlineStr">
        <is>
          <t>3 ảnh</t>
        </is>
      </c>
      <c r="M37" s="6" t="inlineStr">
        <is>
          <t>Có</t>
        </is>
      </c>
      <c r="N37" s="6" t="inlineStr">
        <is>
          <t>Hẹn đăng</t>
        </is>
      </c>
      <c r="O37" s="6" t="n">
        <v>413</v>
      </c>
      <c r="P37" s="6" t="n">
        <v>540</v>
      </c>
    </row>
    <row r="38">
      <c r="A38" s="6" t="inlineStr">
        <is>
          <t>T7 31/10</t>
        </is>
      </c>
      <c r="B38" s="6" t="inlineStr">
        <is>
          <t>07:25</t>
        </is>
      </c>
      <c r="C38" s="6" t="inlineStr">
        <is>
          <t>Golden Hill</t>
        </is>
      </c>
      <c r="D38" s="6" t="n">
        <v>11</v>
      </c>
      <c r="E38" s="6" t="inlineStr">
        <is>
          <t>Vẫn có khách giao dịch, CĐT dẫn đi xem</t>
        </is>
      </c>
      <c r="F38" s="6" t="inlineStr">
        <is>
          <t>🌾 BÀ CON SƠN TOA, CHỈ VỚI 500 TRIỆU ĐÃ SỞ HỮU LÔ ĐẤT</t>
        </is>
      </c>
      <c r="G38" s="6" t="inlineStr">
        <is>
          <t>Người tìm đất xây nhà</t>
        </is>
      </c>
      <c r="H38" s="6" t="inlineStr">
        <is>
          <t>YT109</t>
        </is>
      </c>
      <c r="I38" s="6" t="inlineStr">
        <is>
          <t>Sơn Toa Yên Thế</t>
        </is>
      </c>
      <c r="J38" s="6" t="inlineStr">
        <is>
          <t>Cộng đồng / hội</t>
        </is>
      </c>
      <c r="K38" s="8" t="n">
        <v>16000</v>
      </c>
      <c r="L38" s="6" t="inlineStr">
        <is>
          <t>3 ảnh</t>
        </is>
      </c>
      <c r="M38" s="6" t="inlineStr">
        <is>
          <t>Có</t>
        </is>
      </c>
      <c r="N38" s="6" t="inlineStr">
        <is>
          <t>Hẹn đăng</t>
        </is>
      </c>
      <c r="O38" s="6" t="n">
        <v>414</v>
      </c>
      <c r="P38" s="6" t="n">
        <v>255</v>
      </c>
    </row>
    <row r="39">
      <c r="A39" s="6" t="inlineStr">
        <is>
          <t>T7 31/10</t>
        </is>
      </c>
      <c r="B39" s="6" t="inlineStr">
        <is>
          <t>08:16</t>
        </is>
      </c>
      <c r="C39" s="6" t="inlineStr">
        <is>
          <t>Golden Hill</t>
        </is>
      </c>
      <c r="D39" s="6" t="n">
        <v>12</v>
      </c>
      <c r="E39" s="6" t="inlineStr">
        <is>
          <t>Người các xã lân cận</t>
        </is>
      </c>
      <c r="F39" s="6" t="inlineStr">
        <is>
          <t>📍 QUÊ NHÃ NAM? CHỈ VỚI 500 TRIỆU ĐÃ SỞ HỮU LÔ ĐẤT</t>
        </is>
      </c>
      <c r="G39" s="6" t="inlineStr">
        <is>
          <t>Người tìm đất xây nhà</t>
        </is>
      </c>
      <c r="H39" s="6" t="inlineStr">
        <is>
          <t>KC56</t>
        </is>
      </c>
      <c r="I39" s="6" t="inlineStr">
        <is>
          <t>Chợ Vân Cốc 1,2,3,4. Kcn Vân Trung. My Điền. Nội Hoàng Quang Châu</t>
        </is>
      </c>
      <c r="J39" s="6" t="inlineStr">
        <is>
          <t>KCN / nhà trọ</t>
        </is>
      </c>
      <c r="K39" s="8" t="n">
        <v>54000</v>
      </c>
      <c r="L39" s="6" t="inlineStr">
        <is>
          <t>3 ảnh</t>
        </is>
      </c>
      <c r="M39" s="6" t="inlineStr">
        <is>
          <t>Có</t>
        </is>
      </c>
      <c r="N39" s="6" t="inlineStr">
        <is>
          <t>Hẹn đăng</t>
        </is>
      </c>
      <c r="O39" s="6" t="n">
        <v>415</v>
      </c>
      <c r="P39" s="6" t="n">
        <v>550</v>
      </c>
    </row>
    <row r="40">
      <c r="A40" s="6" t="inlineStr">
        <is>
          <t>T7 31/10</t>
        </is>
      </c>
      <c r="B40" s="6" t="inlineStr">
        <is>
          <t>09:44</t>
        </is>
      </c>
      <c r="C40" s="6" t="inlineStr">
        <is>
          <t>Golden Hill</t>
        </is>
      </c>
      <c r="D40" s="6" t="n">
        <v>4</v>
      </c>
      <c r="E40" s="6" t="inlineStr">
        <is>
          <t>Tết về quê có đất riêng</t>
        </is>
      </c>
      <c r="F40" s="6" t="inlineStr">
        <is>
          <t>🎍 ĐẤT Ở QUÊ: CHỈ VỚI 500 TRIỆU ĐÃ SỞ HỮU LÔ ĐẤT</t>
        </is>
      </c>
      <c r="G40" s="6" t="inlineStr">
        <is>
          <t>Người tìm đất xây nhà</t>
        </is>
      </c>
      <c r="H40" s="6" t="inlineStr">
        <is>
          <t>TY84</t>
        </is>
      </c>
      <c r="I40" s="6" t="inlineStr">
        <is>
          <t>[ MUA BÁN NHÀ ĐẤT TÂN YÊN &amp; YÊN THẾ ]</t>
        </is>
      </c>
      <c r="J40" s="6" t="inlineStr">
        <is>
          <t>Nhà đất / BĐS</t>
        </is>
      </c>
      <c r="K40" s="8" t="n">
        <v>2200</v>
      </c>
      <c r="L40" s="6" t="inlineStr">
        <is>
          <t>3 ảnh</t>
        </is>
      </c>
      <c r="M40" s="6" t="inlineStr">
        <is>
          <t>Có</t>
        </is>
      </c>
      <c r="N40" s="6" t="inlineStr">
        <is>
          <t>Hẹn đăng</t>
        </is>
      </c>
      <c r="O40" s="6" t="n">
        <v>416</v>
      </c>
      <c r="P40" s="6" t="n">
        <v>230</v>
      </c>
    </row>
    <row r="41">
      <c r="A41" s="6" t="inlineStr">
        <is>
          <t>T7 31/10</t>
        </is>
      </c>
      <c r="B41" s="6" t="inlineStr">
        <is>
          <t>11:04</t>
        </is>
      </c>
      <c r="C41" s="6" t="inlineStr">
        <is>
          <t>Golden Hill</t>
        </is>
      </c>
      <c r="D41" s="6" t="n">
        <v>1</v>
      </c>
      <c r="E41" s="6" t="inlineStr">
        <is>
          <t>Rủ anh em, họ hàng mua gần nhau</t>
        </is>
      </c>
      <c r="F41" s="6" t="inlineStr">
        <is>
          <t>🤝 RỦ NHAU XEM ĐẤT: CHỈ VỚI 500 TRIỆU ĐÃ SỞ HỮU LÔ ĐẤT</t>
        </is>
      </c>
      <c r="G41" s="6" t="inlineStr">
        <is>
          <t>Người tìm đất xây nhà</t>
        </is>
      </c>
      <c r="H41" s="6" t="inlineStr">
        <is>
          <t>YT110</t>
        </is>
      </c>
      <c r="I41" s="6" t="inlineStr">
        <is>
          <t>Yên Thế Online</t>
        </is>
      </c>
      <c r="J41" s="6" t="inlineStr">
        <is>
          <t>Cộng đồng / hội</t>
        </is>
      </c>
      <c r="K41" s="8" t="n">
        <v>64000</v>
      </c>
      <c r="L41" s="6" t="inlineStr">
        <is>
          <t>3 ảnh</t>
        </is>
      </c>
      <c r="M41" s="6" t="inlineStr">
        <is>
          <t>Có</t>
        </is>
      </c>
      <c r="N41" s="6" t="inlineStr">
        <is>
          <t>Hẹn đăng</t>
        </is>
      </c>
      <c r="O41" s="6" t="n">
        <v>417</v>
      </c>
      <c r="P41" s="6" t="n">
        <v>38</v>
      </c>
    </row>
    <row r="42">
      <c r="A42" s="6" t="inlineStr">
        <is>
          <t>T7 31/10</t>
        </is>
      </c>
      <c r="B42" s="6" t="inlineStr">
        <is>
          <t>12:33</t>
        </is>
      </c>
      <c r="C42" s="6" t="inlineStr">
        <is>
          <t>Golden Hill</t>
        </is>
      </c>
      <c r="D42" s="6" t="n">
        <v>2</v>
      </c>
      <c r="E42" s="6" t="inlineStr">
        <is>
          <t>Hai vợ chồng cùng đi xem</t>
        </is>
      </c>
      <c r="F42" s="6" t="inlineStr">
        <is>
          <t>📖 GÓC SÁCH NHÀ RIÊNG: CHỈ VỚI 500 TRIỆU ĐÃ SỞ HỮU LÔ ĐẤT</t>
        </is>
      </c>
      <c r="G42" s="6" t="inlineStr">
        <is>
          <t>Người tìm đất xây nhà</t>
        </is>
      </c>
      <c r="H42" s="6" t="inlineStr">
        <is>
          <t>TY85</t>
        </is>
      </c>
      <c r="I42" s="6" t="inlineStr">
        <is>
          <t>Nhã Nam reading club</t>
        </is>
      </c>
      <c r="J42" s="6" t="inlineStr">
        <is>
          <t>Cộng đồng / hội</t>
        </is>
      </c>
      <c r="K42" s="8" t="n">
        <v>259000</v>
      </c>
      <c r="L42" s="6" t="inlineStr">
        <is>
          <t>3 ảnh</t>
        </is>
      </c>
      <c r="M42" s="6" t="inlineStr">
        <is>
          <t>Có</t>
        </is>
      </c>
      <c r="N42" s="6" t="inlineStr">
        <is>
          <t>Hẹn đăng</t>
        </is>
      </c>
      <c r="O42" s="6" t="n">
        <v>418</v>
      </c>
      <c r="P42" s="6" t="n">
        <v>139</v>
      </c>
    </row>
    <row r="43">
      <c r="A43" s="6" t="inlineStr">
        <is>
          <t>T7 31/10</t>
        </is>
      </c>
      <c r="B43" s="6" t="inlineStr">
        <is>
          <t>13:16</t>
        </is>
      </c>
      <c r="C43" s="6" t="inlineStr">
        <is>
          <t>Golden Hill</t>
        </is>
      </c>
      <c r="D43" s="6" t="n">
        <v>3</v>
      </c>
      <c r="E43" s="6" t="inlineStr">
        <is>
          <t>Đất làm nhà cưới cho con</t>
        </is>
      </c>
      <c r="F43" s="6" t="inlineStr">
        <is>
          <t>🎒 DÀNH DỤM CHO CON: CHỈ VỚI 500 TRIỆU ĐÃ SỞ HỮU LÔ ĐẤT</t>
        </is>
      </c>
      <c r="G43" s="6" t="inlineStr">
        <is>
          <t>Người tìm đất xây nhà</t>
        </is>
      </c>
      <c r="H43" s="6" t="inlineStr">
        <is>
          <t>KC57</t>
        </is>
      </c>
      <c r="I43" s="6" t="inlineStr">
        <is>
          <t>CHỢ VÂN CỐC 1,2,3,4 VÂN TRUNG _ TRUNG ĐỒNG _ BÀI XANH</t>
        </is>
      </c>
      <c r="J43" s="6" t="inlineStr">
        <is>
          <t>Chợ địa phương</t>
        </is>
      </c>
      <c r="K43" s="8" t="n">
        <v>52000</v>
      </c>
      <c r="L43" s="6" t="inlineStr">
        <is>
          <t>3 ảnh</t>
        </is>
      </c>
      <c r="M43" s="6" t="inlineStr">
        <is>
          <t>Có</t>
        </is>
      </c>
      <c r="N43" s="6" t="inlineStr">
        <is>
          <t>Hẹn đăng</t>
        </is>
      </c>
      <c r="O43" s="6" t="n">
        <v>419</v>
      </c>
      <c r="P43" s="6" t="n">
        <v>551</v>
      </c>
    </row>
    <row r="44">
      <c r="A44" s="6" t="inlineStr">
        <is>
          <t>T7 31/10</t>
        </is>
      </c>
      <c r="B44" s="6" t="inlineStr">
        <is>
          <t>14:42</t>
        </is>
      </c>
      <c r="C44" s="6" t="inlineStr">
        <is>
          <t>Golden Hill</t>
        </is>
      </c>
      <c r="D44" s="6" t="n">
        <v>6</v>
      </c>
      <c r="E44" s="6" t="inlineStr">
        <is>
          <t>Dạo một vòng bằng flycam</t>
        </is>
      </c>
      <c r="F44" s="6" t="inlineStr">
        <is>
          <t>🧭 DẠO QUANH KHU ĐẤT: CHỈ VỚI 500 TRIỆU ĐÃ SỞ HỮU LÔ ĐẤT</t>
        </is>
      </c>
      <c r="G44" s="6" t="inlineStr">
        <is>
          <t>Người tìm đất xây nhà</t>
        </is>
      </c>
      <c r="H44" s="6" t="inlineStr">
        <is>
          <t>TY86</t>
        </is>
      </c>
      <c r="I44" s="6" t="inlineStr">
        <is>
          <t>Chợ Tân Yên - Bắc Giang</t>
        </is>
      </c>
      <c r="J44" s="6" t="inlineStr">
        <is>
          <t>Chợ địa phương</t>
        </is>
      </c>
      <c r="K44" s="8" t="n">
        <v>30000</v>
      </c>
      <c r="L44" s="6" t="inlineStr">
        <is>
          <t>3 ảnh</t>
        </is>
      </c>
      <c r="M44" s="6" t="inlineStr">
        <is>
          <t>Có</t>
        </is>
      </c>
      <c r="N44" s="6" t="inlineStr">
        <is>
          <t>Hẹn đăng</t>
        </is>
      </c>
      <c r="O44" s="6" t="n">
        <v>420</v>
      </c>
      <c r="P44" s="6" t="n">
        <v>123</v>
      </c>
    </row>
    <row r="45">
      <c r="A45" s="6" t="inlineStr">
        <is>
          <t>T7 31/10</t>
        </is>
      </c>
      <c r="B45" s="6" t="inlineStr">
        <is>
          <t>16:26</t>
        </is>
      </c>
      <c r="C45" s="6" t="inlineStr">
        <is>
          <t>Golden Hill</t>
        </is>
      </c>
      <c r="D45" s="6" t="n">
        <v>7</v>
      </c>
      <c r="E45" s="6" t="inlineStr">
        <is>
          <t>Hỏi nhanh – đáp nhanh</t>
        </is>
      </c>
      <c r="F45" s="6" t="inlineStr">
        <is>
          <t>❗ EM TRẢ LỜI NHANH: CHỈ VỚI 500 TRIỆU ĐÃ SỞ HỮU LÔ ĐẤT</t>
        </is>
      </c>
      <c r="G45" s="6" t="inlineStr">
        <is>
          <t>Người tìm đất xây nhà</t>
        </is>
      </c>
      <c r="H45" s="6" t="inlineStr">
        <is>
          <t>KC58</t>
        </is>
      </c>
      <c r="I45" s="6" t="inlineStr">
        <is>
          <t>KCN Song Khê - Nội Hoàng - Bắc Giang</t>
        </is>
      </c>
      <c r="J45" s="6" t="inlineStr">
        <is>
          <t>KCN / nhà trọ</t>
        </is>
      </c>
      <c r="K45" s="8" t="n">
        <v>70000</v>
      </c>
      <c r="L45" s="6" t="inlineStr">
        <is>
          <t>3 ảnh</t>
        </is>
      </c>
      <c r="M45" s="6" t="inlineStr">
        <is>
          <t>Có</t>
        </is>
      </c>
      <c r="N45" s="6" t="inlineStr">
        <is>
          <t>Hẹn đăng</t>
        </is>
      </c>
      <c r="O45" s="6" t="n">
        <v>421</v>
      </c>
      <c r="P45" s="6" t="n">
        <v>542</v>
      </c>
    </row>
    <row r="46">
      <c r="A46" s="6" t="inlineStr">
        <is>
          <t>T7 31/10</t>
        </is>
      </c>
      <c r="B46" s="6" t="inlineStr">
        <is>
          <t>17:45</t>
        </is>
      </c>
      <c r="C46" s="6" t="inlineStr">
        <is>
          <t>Golden Hill</t>
        </is>
      </c>
      <c r="D46" s="6" t="n">
        <v>8</v>
      </c>
      <c r="E46" s="6" t="inlineStr">
        <is>
          <t>Làm KCN, về quê có đất</t>
        </is>
      </c>
      <c r="F46" s="6" t="inlineStr">
        <is>
          <t>🪁 CHÀO HỘI DIỀU SÁO: CHỈ VỚI 500 TRIỆU ĐÃ SỞ HỮU LÔ ĐẤT</t>
        </is>
      </c>
      <c r="G46" s="6" t="inlineStr">
        <is>
          <t>Người tìm đất xây nhà</t>
        </is>
      </c>
      <c r="H46" s="6" t="inlineStr">
        <is>
          <t>TY87</t>
        </is>
      </c>
      <c r="I46" s="6" t="inlineStr">
        <is>
          <t>Hội Diều Sáo Tân Yên</t>
        </is>
      </c>
      <c r="J46" s="6" t="inlineStr">
        <is>
          <t>Cộng đồng / hội</t>
        </is>
      </c>
      <c r="K46" s="8" t="n">
        <v>52000</v>
      </c>
      <c r="L46" s="6" t="inlineStr">
        <is>
          <t>3 ảnh</t>
        </is>
      </c>
      <c r="M46" s="6" t="inlineStr">
        <is>
          <t>Có</t>
        </is>
      </c>
      <c r="N46" s="6" t="inlineStr">
        <is>
          <t>Hẹn đăng</t>
        </is>
      </c>
      <c r="O46" s="6" t="n">
        <v>422</v>
      </c>
      <c r="P46" s="6" t="n">
        <v>128</v>
      </c>
    </row>
    <row r="47">
      <c r="A47" s="6" t="inlineStr">
        <is>
          <t>T7 31/10</t>
        </is>
      </c>
      <c r="B47" s="6" t="inlineStr">
        <is>
          <t>19:14</t>
        </is>
      </c>
      <c r="C47" s="6" t="inlineStr">
        <is>
          <t>Golden Hill</t>
        </is>
      </c>
      <c r="D47" s="6" t="n">
        <v>5</v>
      </c>
      <c r="E47" s="6" t="inlineStr">
        <is>
          <t>Tối cho con ra quảng trường chơi</t>
        </is>
      </c>
      <c r="F47" s="6" t="inlineStr">
        <is>
          <t>💡 ĐÈN SÁNG, ĐÔNG VUI: CHỈ VỚI 500 TRIỆU ĐÃ SỞ HỮU LÔ ĐẤT</t>
        </is>
      </c>
      <c r="G47" s="6" t="inlineStr">
        <is>
          <t>Người tìm đất xây nhà</t>
        </is>
      </c>
      <c r="H47" s="6" t="inlineStr">
        <is>
          <t>KC59</t>
        </is>
      </c>
      <c r="I47" s="6" t="inlineStr">
        <is>
          <t>CHỢ TRUNG ĐỒNG, Vân Cốc 1,2,3,4 Vân Trung Quang Châu</t>
        </is>
      </c>
      <c r="J47" s="6" t="inlineStr">
        <is>
          <t>Chợ địa phương</t>
        </is>
      </c>
      <c r="K47" s="8" t="n">
        <v>45000</v>
      </c>
      <c r="L47" s="6" t="inlineStr">
        <is>
          <t>3 ảnh</t>
        </is>
      </c>
      <c r="M47" s="6" t="inlineStr">
        <is>
          <t>Có</t>
        </is>
      </c>
      <c r="N47" s="6" t="inlineStr">
        <is>
          <t>Hẹn đăng</t>
        </is>
      </c>
      <c r="O47" s="6" t="n">
        <v>423</v>
      </c>
      <c r="P47" s="6" t="n">
        <v>552</v>
      </c>
    </row>
    <row r="48">
      <c r="A48" s="6" t="inlineStr">
        <is>
          <t>T7 31/10</t>
        </is>
      </c>
      <c r="B48" s="6" t="inlineStr">
        <is>
          <t>20:41</t>
        </is>
      </c>
      <c r="C48" s="6" t="inlineStr">
        <is>
          <t>Golden Hill</t>
        </is>
      </c>
      <c r="D48" s="6" t="n">
        <v>5</v>
      </c>
      <c r="E48" s="6" t="inlineStr">
        <is>
          <t>Tối cho con ra quảng trường chơi</t>
        </is>
      </c>
      <c r="F48" s="6" t="inlineStr">
        <is>
          <t>🏮 QUẢNG TRƯỜNG ĐÔNG VUI: CHỈ VỚI 500 TRIỆU ĐÃ SỞ HỮU LÔ ĐẤT</t>
        </is>
      </c>
      <c r="G48" s="6" t="inlineStr">
        <is>
          <t>Người tìm đất xây nhà</t>
        </is>
      </c>
      <c r="H48" s="6" t="inlineStr">
        <is>
          <t>YT111</t>
        </is>
      </c>
      <c r="I48" s="6" t="inlineStr">
        <is>
          <t>BẤT ĐỘNG SẢN YÊN THẾ</t>
        </is>
      </c>
      <c r="J48" s="6" t="inlineStr">
        <is>
          <t>Nhà đất / BĐS</t>
        </is>
      </c>
      <c r="K48" s="8" t="n">
        <v>6200</v>
      </c>
      <c r="L48" s="6" t="inlineStr">
        <is>
          <t>3 ảnh</t>
        </is>
      </c>
      <c r="M48" s="6" t="inlineStr">
        <is>
          <t>Có</t>
        </is>
      </c>
      <c r="N48" s="6" t="inlineStr">
        <is>
          <t>Hẹn đăng</t>
        </is>
      </c>
      <c r="O48" s="6" t="n">
        <v>424</v>
      </c>
      <c r="P48" s="6" t="n">
        <v>7</v>
      </c>
    </row>
    <row r="49">
      <c r="A49" s="6" t="inlineStr">
        <is>
          <t>T7 31/10</t>
        </is>
      </c>
      <c r="B49" s="6" t="inlineStr">
        <is>
          <t>21:56</t>
        </is>
      </c>
      <c r="C49" s="6" t="inlineStr">
        <is>
          <t>Golden Hill</t>
        </is>
      </c>
      <c r="D49" s="6" t="n">
        <v>5</v>
      </c>
      <c r="E49" s="6" t="inlineStr">
        <is>
          <t>Tối cho con ra quảng trường chơi</t>
        </is>
      </c>
      <c r="F49" s="6" t="inlineStr">
        <is>
          <t>🎢 CON RA SÂN CHƠI: CHỈ VỚI 500 TRIỆU ĐÃ SỞ HỮU LÔ ĐẤT</t>
        </is>
      </c>
      <c r="G49" s="6" t="inlineStr">
        <is>
          <t>Người tìm đất xây nhà</t>
        </is>
      </c>
      <c r="H49" s="6" t="inlineStr">
        <is>
          <t>YT112</t>
        </is>
      </c>
      <c r="I49" s="6" t="inlineStr">
        <is>
          <t>Người Yên Thế</t>
        </is>
      </c>
      <c r="J49" s="6" t="inlineStr">
        <is>
          <t>Cộng đồng / hội</t>
        </is>
      </c>
      <c r="K49" s="8" t="n">
        <v>36000</v>
      </c>
      <c r="L49" s="6" t="inlineStr">
        <is>
          <t>3 ảnh</t>
        </is>
      </c>
      <c r="M49" s="6" t="inlineStr">
        <is>
          <t>Có</t>
        </is>
      </c>
      <c r="N49" s="6" t="inlineStr">
        <is>
          <t>Hẹn đăng</t>
        </is>
      </c>
      <c r="O49" s="6" t="n">
        <v>425</v>
      </c>
      <c r="P49" s="6" t="n">
        <v>40</v>
      </c>
    </row>
    <row r="50">
      <c r="A50" s="6" t="inlineStr">
        <is>
          <t>CN 01/11</t>
        </is>
      </c>
      <c r="B50" s="6" t="inlineStr">
        <is>
          <t>06:46</t>
        </is>
      </c>
      <c r="C50" s="6" t="inlineStr">
        <is>
          <t>Golden Hill</t>
        </is>
      </c>
      <c r="D50" s="6" t="n">
        <v>9</v>
      </c>
      <c r="E50" s="6" t="inlineStr">
        <is>
          <t>Khu dân cư mới giữa trung tâm xã</t>
        </is>
      </c>
      <c r="F50" s="6" t="inlineStr">
        <is>
          <t>🌿 KHU Ở MỚI: CHỈ VỚI 500 TRIỆU ĐÃ SỞ HỮU LÔ ĐẤT</t>
        </is>
      </c>
      <c r="G50" s="6" t="inlineStr">
        <is>
          <t>Người tìm đất xây nhà</t>
        </is>
      </c>
      <c r="H50" s="6" t="inlineStr">
        <is>
          <t>YT113</t>
        </is>
      </c>
      <c r="I50" s="6" t="inlineStr">
        <is>
          <t>Yên Thế Online</t>
        </is>
      </c>
      <c r="J50" s="6" t="inlineStr">
        <is>
          <t>Cộng đồng / hội</t>
        </is>
      </c>
      <c r="K50" s="8" t="n">
        <v>13000</v>
      </c>
      <c r="L50" s="6" t="inlineStr">
        <is>
          <t>3 ảnh</t>
        </is>
      </c>
      <c r="M50" s="6" t="inlineStr">
        <is>
          <t>Có</t>
        </is>
      </c>
      <c r="N50" s="6" t="inlineStr">
        <is>
          <t>Hẹn đăng</t>
        </is>
      </c>
      <c r="O50" s="6" t="n">
        <v>426</v>
      </c>
      <c r="P50" s="6" t="n">
        <v>46</v>
      </c>
    </row>
    <row r="51">
      <c r="A51" s="6" t="inlineStr">
        <is>
          <t>CN 01/11</t>
        </is>
      </c>
      <c r="B51" s="6" t="inlineStr">
        <is>
          <t>08:32</t>
        </is>
      </c>
      <c r="C51" s="6" t="inlineStr">
        <is>
          <t>Golden Hill</t>
        </is>
      </c>
      <c r="D51" s="6" t="n">
        <v>10</v>
      </c>
      <c r="E51" s="6" t="inlineStr">
        <is>
          <t>Nhìn từ trên cao / mặt đường</t>
        </is>
      </c>
      <c r="F51" s="6" t="inlineStr">
        <is>
          <t>🏡 ĐẤT Ở QUÊ? CHỈ VỚI 500 TRIỆU ĐÃ SỞ HỮU LÔ ĐẤT</t>
        </is>
      </c>
      <c r="G51" s="6" t="inlineStr">
        <is>
          <t>cong-nhan-kcn-mua-dat-xay-nha</t>
        </is>
      </c>
      <c r="H51" s="6" t="inlineStr">
        <is>
          <t>KC60</t>
        </is>
      </c>
      <c r="I51" s="6" t="inlineStr">
        <is>
          <t>chợ mi điền - KCN Đình Trám - Vân Trung - Quang Châu</t>
        </is>
      </c>
      <c r="J51" s="6" t="inlineStr">
        <is>
          <t>KCN / nhà trọ</t>
        </is>
      </c>
      <c r="K51" s="8" t="n">
        <v>45000</v>
      </c>
      <c r="L51" s="6" t="inlineStr">
        <is>
          <t>3 ảnh</t>
        </is>
      </c>
      <c r="M51" s="6" t="inlineStr">
        <is>
          <t>Có</t>
        </is>
      </c>
      <c r="N51" s="6" t="inlineStr">
        <is>
          <t>Hẹn đăng</t>
        </is>
      </c>
      <c r="O51" s="6" t="n">
        <v>427</v>
      </c>
      <c r="P51" s="6" t="n">
        <v>553</v>
      </c>
    </row>
    <row r="52">
      <c r="A52" s="6" t="inlineStr">
        <is>
          <t>CN 01/11</t>
        </is>
      </c>
      <c r="B52" s="6" t="inlineStr">
        <is>
          <t>10:01</t>
        </is>
      </c>
      <c r="C52" s="6" t="inlineStr">
        <is>
          <t>Golden Hill</t>
        </is>
      </c>
      <c r="D52" s="6" t="n">
        <v>11</v>
      </c>
      <c r="E52" s="6" t="inlineStr">
        <is>
          <t>Vẫn có khách giao dịch, CĐT dẫn đi xem</t>
        </is>
      </c>
      <c r="F52" s="6" t="inlineStr">
        <is>
          <t>📍 XEM ĐẤT TẬN NƠI? CHỈ VỚI 500 TRIỆU ĐÃ SỞ HỮU LÔ ĐẤT</t>
        </is>
      </c>
      <c r="G52" s="6" t="inlineStr">
        <is>
          <t>Người tìm đất xây nhà</t>
        </is>
      </c>
      <c r="H52" s="6" t="inlineStr">
        <is>
          <t>BH32</t>
        </is>
      </c>
      <c r="I52" s="6" t="inlineStr">
        <is>
          <t>Nhà Đất xã Yên Thế, Đồng Kỳ, Xuân Lương, Tam Tiến, Bố Hạ tỉnh Bắc Ninh</t>
        </is>
      </c>
      <c r="J52" s="6" t="inlineStr">
        <is>
          <t>Nhà đất / BĐS</t>
        </is>
      </c>
      <c r="K52" s="8" t="n">
        <v>1200</v>
      </c>
      <c r="L52" s="6" t="inlineStr">
        <is>
          <t>3 ảnh</t>
        </is>
      </c>
      <c r="M52" s="6" t="inlineStr">
        <is>
          <t>Có</t>
        </is>
      </c>
      <c r="N52" s="6" t="inlineStr">
        <is>
          <t>Hẹn đăng</t>
        </is>
      </c>
      <c r="O52" s="6" t="n">
        <v>428</v>
      </c>
      <c r="P52" s="6" t="n">
        <v>49</v>
      </c>
    </row>
    <row r="53">
      <c r="A53" s="6" t="inlineStr">
        <is>
          <t>CN 01/11</t>
        </is>
      </c>
      <c r="B53" s="6" t="inlineStr">
        <is>
          <t>11:09</t>
        </is>
      </c>
      <c r="C53" s="6" t="inlineStr">
        <is>
          <t>Golden Hill</t>
        </is>
      </c>
      <c r="D53" s="6" t="n">
        <v>12</v>
      </c>
      <c r="E53" s="6" t="inlineStr">
        <is>
          <t>Người các xã lân cận</t>
        </is>
      </c>
      <c r="F53" s="6" t="inlineStr">
        <is>
          <t>🏡 BÀ CON XUÂN LƯƠNG? CHỈ VỚI 500 TRIỆU ĐÃ SỞ HỮU LÔ ĐẤT</t>
        </is>
      </c>
      <c r="G53" s="6" t="inlineStr">
        <is>
          <t>nguoi-xa-lan-can-lam-nha</t>
        </is>
      </c>
      <c r="H53" s="6" t="inlineStr">
        <is>
          <t>YT114</t>
        </is>
      </c>
      <c r="I53" s="6" t="inlineStr">
        <is>
          <t>XÃ XUÂN LƯƠNG - TỈNH BẮC NINH (Xuân Lương -Canh Nậu- Đồng Tiến )</t>
        </is>
      </c>
      <c r="J53" s="6" t="inlineStr">
        <is>
          <t>Cộng đồng / hội</t>
        </is>
      </c>
      <c r="K53" s="8" t="n">
        <v>11000</v>
      </c>
      <c r="L53" s="6" t="inlineStr">
        <is>
          <t>3 ảnh</t>
        </is>
      </c>
      <c r="M53" s="6" t="inlineStr">
        <is>
          <t>Có</t>
        </is>
      </c>
      <c r="N53" s="6" t="inlineStr">
        <is>
          <t>Hẹn đăng</t>
        </is>
      </c>
      <c r="O53" s="6" t="n">
        <v>429</v>
      </c>
      <c r="P53" s="6" t="n">
        <v>100</v>
      </c>
    </row>
    <row r="54">
      <c r="A54" s="6" t="inlineStr">
        <is>
          <t>CN 01/11</t>
        </is>
      </c>
      <c r="B54" s="6" t="inlineStr">
        <is>
          <t>12:33</t>
        </is>
      </c>
      <c r="C54" s="6" t="inlineStr">
        <is>
          <t>Golden Hill</t>
        </is>
      </c>
      <c r="D54" s="6" t="n">
        <v>4</v>
      </c>
      <c r="E54" s="6" t="inlineStr">
        <is>
          <t>Tết về quê có đất riêng</t>
        </is>
      </c>
      <c r="F54" s="6" t="inlineStr">
        <is>
          <t>🔥 TẾT VỀ QUÊ? CHỈ VỚI 500 TRIỆU ĐÃ SỞ HỮU LÔ ĐẤT</t>
        </is>
      </c>
      <c r="G54" s="6" t="inlineStr">
        <is>
          <t>cong-nhan-kcn-ve-que-tet</t>
        </is>
      </c>
      <c r="H54" s="6" t="inlineStr">
        <is>
          <t>KC61</t>
        </is>
      </c>
      <c r="I54" s="6" t="inlineStr">
        <is>
          <t>KCN QUANG CHÂU - VIỆT YÊN - BẮC GIANG</t>
        </is>
      </c>
      <c r="J54" s="6" t="inlineStr">
        <is>
          <t>KCN / nhà trọ</t>
        </is>
      </c>
      <c r="K54" s="8" t="n">
        <v>62000</v>
      </c>
      <c r="L54" s="6" t="inlineStr">
        <is>
          <t>3 ảnh</t>
        </is>
      </c>
      <c r="M54" s="6" t="inlineStr">
        <is>
          <t>Có</t>
        </is>
      </c>
      <c r="N54" s="6" t="inlineStr">
        <is>
          <t>Hẹn đăng</t>
        </is>
      </c>
      <c r="O54" s="6" t="n">
        <v>430</v>
      </c>
      <c r="P54" s="6" t="n">
        <v>545</v>
      </c>
    </row>
    <row r="55">
      <c r="A55" s="6" t="inlineStr">
        <is>
          <t>CN 01/11</t>
        </is>
      </c>
      <c r="B55" s="6" t="inlineStr">
        <is>
          <t>13:15</t>
        </is>
      </c>
      <c r="C55" s="6" t="inlineStr">
        <is>
          <t>Golden Hill</t>
        </is>
      </c>
      <c r="D55" s="6" t="n">
        <v>1</v>
      </c>
      <c r="E55" s="6" t="inlineStr">
        <is>
          <t>Rủ anh em, họ hàng mua gần nhau</t>
        </is>
      </c>
      <c r="F55" s="6" t="inlineStr">
        <is>
          <t>🏡 HAI NHÀ CẠNH NHAU? CHỈ VỚI 500 TRIỆU ĐÃ SỞ HỮU LÔ ĐẤT</t>
        </is>
      </c>
      <c r="G55" s="6" t="inlineStr">
        <is>
          <t>anh-em-lam-nha-gan-nhau</t>
        </is>
      </c>
      <c r="H55" s="6" t="inlineStr">
        <is>
          <t>TY88</t>
        </is>
      </c>
      <c r="I55" s="6" t="inlineStr">
        <is>
          <t>Chợ Mọc Cao Thượng - Tân Yên - Bắc Giang</t>
        </is>
      </c>
      <c r="J55" s="6" t="inlineStr">
        <is>
          <t>Chợ địa phương</t>
        </is>
      </c>
      <c r="K55" s="8" t="n">
        <v>44000</v>
      </c>
      <c r="L55" s="6" t="inlineStr">
        <is>
          <t>3 ảnh</t>
        </is>
      </c>
      <c r="M55" s="6" t="inlineStr">
        <is>
          <t>Có</t>
        </is>
      </c>
      <c r="N55" s="6" t="inlineStr">
        <is>
          <t>Hẹn đăng</t>
        </is>
      </c>
      <c r="O55" s="6" t="n">
        <v>431</v>
      </c>
      <c r="P55" s="6" t="n">
        <v>114</v>
      </c>
    </row>
    <row r="56">
      <c r="A56" s="6" t="inlineStr">
        <is>
          <t>CN 01/11</t>
        </is>
      </c>
      <c r="B56" s="6" t="inlineStr">
        <is>
          <t>15:24</t>
        </is>
      </c>
      <c r="C56" s="6" t="inlineStr">
        <is>
          <t>Golden Hill</t>
        </is>
      </c>
      <c r="D56" s="6" t="n">
        <v>2</v>
      </c>
      <c r="E56" s="6" t="inlineStr">
        <is>
          <t>Hai vợ chồng cùng đi xem</t>
        </is>
      </c>
      <c r="F56" s="6" t="inlineStr">
        <is>
          <t>📍 TÌM CHỖ Ở RIÊNG? CHỈ VỚI 500 TRIỆU ĐÃ SỞ HỮU LÔ ĐẤT</t>
        </is>
      </c>
      <c r="G56" s="6" t="inlineStr">
        <is>
          <t>vo-chong-thue-tro-tim-dat</t>
        </is>
      </c>
      <c r="H56" s="6" t="inlineStr">
        <is>
          <t>KC62</t>
        </is>
      </c>
      <c r="I56" s="6" t="inlineStr">
        <is>
          <t>Tìm phòng trọ TT Nếnh- KCN - Đình Trám - Vân Trung - Việt Hàn - Quang Châu</t>
        </is>
      </c>
      <c r="J56" s="6" t="inlineStr">
        <is>
          <t>KCN / nhà trọ</t>
        </is>
      </c>
      <c r="K56" s="8" t="n">
        <v>37000</v>
      </c>
      <c r="L56" s="6" t="inlineStr">
        <is>
          <t>3 ảnh</t>
        </is>
      </c>
      <c r="M56" s="6" t="inlineStr">
        <is>
          <t>Có</t>
        </is>
      </c>
      <c r="N56" s="6" t="inlineStr">
        <is>
          <t>Hẹn đăng</t>
        </is>
      </c>
      <c r="O56" s="6" t="n">
        <v>432</v>
      </c>
      <c r="P56" s="6" t="n">
        <v>556</v>
      </c>
    </row>
    <row r="57">
      <c r="A57" s="6" t="inlineStr">
        <is>
          <t>CN 01/11</t>
        </is>
      </c>
      <c r="B57" s="6" t="inlineStr">
        <is>
          <t>16:17</t>
        </is>
      </c>
      <c r="C57" s="6" t="inlineStr">
        <is>
          <t>Golden Hill</t>
        </is>
      </c>
      <c r="D57" s="6" t="n">
        <v>3</v>
      </c>
      <c r="E57" s="6" t="inlineStr">
        <is>
          <t>Đất làm nhà cưới cho con</t>
        </is>
      </c>
      <c r="F57" s="6" t="inlineStr">
        <is>
          <t>🏡 NHÀ CƯỚI CHO CON? CHỈ VỚI 500 TRIỆU ĐÃ SỞ HỮU LÔ ĐẤT</t>
        </is>
      </c>
      <c r="G57" s="6" t="inlineStr">
        <is>
          <t>phu-huynh-lam-nha-cho-con</t>
        </is>
      </c>
      <c r="H57" s="6" t="inlineStr">
        <is>
          <t>YT115</t>
        </is>
      </c>
      <c r="I57" s="6" t="inlineStr">
        <is>
          <t>Cộng đồng người Yên Thế - Bắc Giang</t>
        </is>
      </c>
      <c r="J57" s="6" t="inlineStr">
        <is>
          <t>Cộng đồng / hội</t>
        </is>
      </c>
      <c r="K57" s="8" t="n">
        <v>9900</v>
      </c>
      <c r="L57" s="6" t="inlineStr">
        <is>
          <t>3 ảnh</t>
        </is>
      </c>
      <c r="M57" s="6" t="inlineStr">
        <is>
          <t>Có</t>
        </is>
      </c>
      <c r="N57" s="6" t="inlineStr">
        <is>
          <t>Hẹn đăng</t>
        </is>
      </c>
      <c r="O57" s="6" t="n">
        <v>433</v>
      </c>
      <c r="P57" s="6" t="n">
        <v>738</v>
      </c>
    </row>
    <row r="58">
      <c r="A58" s="6" t="inlineStr">
        <is>
          <t>CN 01/11</t>
        </is>
      </c>
      <c r="B58" s="6" t="inlineStr">
        <is>
          <t>17:31</t>
        </is>
      </c>
      <c r="C58" s="6" t="inlineStr">
        <is>
          <t>Golden Hill</t>
        </is>
      </c>
      <c r="D58" s="6" t="n">
        <v>6</v>
      </c>
      <c r="E58" s="6" t="inlineStr">
        <is>
          <t>Dạo một vòng bằng flycam</t>
        </is>
      </c>
      <c r="F58" s="6" t="inlineStr">
        <is>
          <t>🔥 NHÌN TỪ TRÊN CAO: CHỈ VỚI 500 TRIỆU ĐÃ SỞ HỮU LÔ ĐẤT</t>
        </is>
      </c>
      <c r="G58" s="6" t="inlineStr">
        <is>
          <t>cong-nhan-kcn-xem-flycam</t>
        </is>
      </c>
      <c r="H58" s="6" t="inlineStr">
        <is>
          <t>KC63</t>
        </is>
      </c>
      <c r="I58" s="6" t="inlineStr">
        <is>
          <t>CỘNG ĐỒNG KHU CÔNG NGHIỆP HÒA PHÚ</t>
        </is>
      </c>
      <c r="J58" s="6" t="inlineStr">
        <is>
          <t>KCN / nhà trọ</t>
        </is>
      </c>
      <c r="K58" s="8" t="n">
        <v>45000</v>
      </c>
      <c r="L58" s="6" t="inlineStr">
        <is>
          <t>3 ảnh</t>
        </is>
      </c>
      <c r="M58" s="6" t="inlineStr">
        <is>
          <t>Có</t>
        </is>
      </c>
      <c r="N58" s="6" t="inlineStr">
        <is>
          <t>Hẹn đăng</t>
        </is>
      </c>
      <c r="O58" s="6" t="n">
        <v>434</v>
      </c>
      <c r="P58" s="6" t="n">
        <v>554</v>
      </c>
    </row>
    <row r="59">
      <c r="A59" s="6" t="inlineStr">
        <is>
          <t>CN 01/11</t>
        </is>
      </c>
      <c r="B59" s="6" t="inlineStr">
        <is>
          <t>18:35</t>
        </is>
      </c>
      <c r="C59" s="6" t="inlineStr">
        <is>
          <t>Golden Hill</t>
        </is>
      </c>
      <c r="D59" s="6" t="n">
        <v>7</v>
      </c>
      <c r="E59" s="6" t="inlineStr">
        <is>
          <t>Hỏi nhanh – đáp nhanh</t>
        </is>
      </c>
      <c r="F59" s="6" t="inlineStr">
        <is>
          <t>✅ ĐÁP NHANH 3 ĐIỀU: CHỈ VỚI 500 TRIỆU ĐÃ SỞ HỮU LÔ ĐẤT</t>
        </is>
      </c>
      <c r="G59" s="6" t="inlineStr">
        <is>
          <t>Người tìm đất xây nhà</t>
        </is>
      </c>
      <c r="H59" s="6" t="inlineStr">
        <is>
          <t>YT116</t>
        </is>
      </c>
      <c r="I59" s="6" t="inlineStr">
        <is>
          <t>Xã Đồng Kỳ - Bắc Ninh ( Mới ): Thông Tin - Trao Đổi, Mua Bán</t>
        </is>
      </c>
      <c r="J59" s="6" t="inlineStr">
        <is>
          <t>Cộng đồng / hội</t>
        </is>
      </c>
      <c r="K59" s="8" t="n">
        <v>0</v>
      </c>
      <c r="L59" s="6" t="inlineStr">
        <is>
          <t>3 ảnh</t>
        </is>
      </c>
      <c r="M59" s="6" t="inlineStr">
        <is>
          <t>Có</t>
        </is>
      </c>
      <c r="N59" s="6" t="inlineStr">
        <is>
          <t>Hẹn đăng</t>
        </is>
      </c>
      <c r="O59" s="6" t="n">
        <v>435</v>
      </c>
      <c r="P59" s="6" t="n">
        <v>20</v>
      </c>
    </row>
    <row r="60">
      <c r="A60" s="6" t="inlineStr">
        <is>
          <t>CN 01/11</t>
        </is>
      </c>
      <c r="B60" s="6" t="inlineStr">
        <is>
          <t>20:13</t>
        </is>
      </c>
      <c r="C60" s="6" t="inlineStr">
        <is>
          <t>Golden Hill</t>
        </is>
      </c>
      <c r="D60" s="6" t="n">
        <v>5</v>
      </c>
      <c r="E60" s="6" t="inlineStr">
        <is>
          <t>Tối cho con ra quảng trường chơi</t>
        </is>
      </c>
      <c r="F60" s="6" t="inlineStr">
        <is>
          <t>🌙 BÉ RA QUẢNG TRƯỜNG? CHỈ VỚI 500 TRIỆU ĐÃ SỞ HỮU LÔ ĐẤT</t>
        </is>
      </c>
      <c r="G60" s="6" t="inlineStr">
        <is>
          <t>cong-nhan-kcn-co-con-nho</t>
        </is>
      </c>
      <c r="H60" s="6" t="inlineStr">
        <is>
          <t>KC64</t>
        </is>
      </c>
      <c r="I60" s="6" t="inlineStr">
        <is>
          <t>Chợ Vân Cốc 1,2,3,4. Kcn Vân Trung. My Điền. Nội Hoang Quang Châu</t>
        </is>
      </c>
      <c r="J60" s="6" t="inlineStr">
        <is>
          <t>KCN / nhà trọ</t>
        </is>
      </c>
      <c r="K60" s="8" t="n">
        <v>35000</v>
      </c>
      <c r="L60" s="6" t="inlineStr">
        <is>
          <t>3 ảnh</t>
        </is>
      </c>
      <c r="M60" s="6" t="inlineStr">
        <is>
          <t>Có</t>
        </is>
      </c>
      <c r="N60" s="6" t="inlineStr">
        <is>
          <t>Hẹn đăng</t>
        </is>
      </c>
      <c r="O60" s="6" t="n">
        <v>436</v>
      </c>
      <c r="P60" s="6" t="n">
        <v>557</v>
      </c>
    </row>
    <row r="61">
      <c r="A61" s="6" t="inlineStr">
        <is>
          <t>CN 01/11</t>
        </is>
      </c>
      <c r="B61" s="6" t="inlineStr">
        <is>
          <t>22:01</t>
        </is>
      </c>
      <c r="C61" s="6" t="inlineStr">
        <is>
          <t>Golden Hill</t>
        </is>
      </c>
      <c r="D61" s="6" t="n">
        <v>5</v>
      </c>
      <c r="E61" s="6" t="inlineStr">
        <is>
          <t>Tối cho con ra quảng trường chơi</t>
        </is>
      </c>
      <c r="F61" s="6" t="inlineStr">
        <is>
          <t>🌙 QUẢNG TRƯỜNG ĐÔNG VUI: CHỈ VỚI 500 TRIỆU ĐÃ SỞ HỮU LÔ ĐẤT</t>
        </is>
      </c>
      <c r="G61" s="6" t="inlineStr">
        <is>
          <t>Người tìm đất xây nhà</t>
        </is>
      </c>
      <c r="H61" s="6" t="inlineStr">
        <is>
          <t>YT117</t>
        </is>
      </c>
      <c r="I61" s="6" t="inlineStr">
        <is>
          <t>Yên Thế Bắc Giang</t>
        </is>
      </c>
      <c r="J61" s="6" t="inlineStr">
        <is>
          <t>Cộng đồng / hội</t>
        </is>
      </c>
      <c r="K61" s="8" t="n">
        <v>7300</v>
      </c>
      <c r="L61" s="6" t="inlineStr">
        <is>
          <t>3 ảnh</t>
        </is>
      </c>
      <c r="M61" s="6" t="inlineStr">
        <is>
          <t>Có</t>
        </is>
      </c>
      <c r="N61" s="6" t="inlineStr">
        <is>
          <t>Hẹn đăng</t>
        </is>
      </c>
      <c r="O61" s="6" t="n">
        <v>437</v>
      </c>
      <c r="P61" s="6" t="n">
        <v>48</v>
      </c>
    </row>
    <row r="62">
      <c r="A62" s="6" t="inlineStr">
        <is>
          <t>T2 02/11</t>
        </is>
      </c>
      <c r="B62" s="6" t="inlineStr">
        <is>
          <t>06:56</t>
        </is>
      </c>
      <c r="C62" s="6" t="inlineStr">
        <is>
          <t>Golden Hill</t>
        </is>
      </c>
      <c r="D62" s="6" t="n">
        <v>8</v>
      </c>
      <c r="E62" s="6" t="inlineStr">
        <is>
          <t>Làm KCN, về quê có đất</t>
        </is>
      </c>
      <c r="F62" s="6" t="inlineStr">
        <is>
          <t>🏡 CÓ NHÀ Ở QUÊ? CHỈ VỚI 500 TRIỆU ĐÃ SỞ HỮU LÔ ĐẤT</t>
        </is>
      </c>
      <c r="G62" s="6" t="inlineStr">
        <is>
          <t>cong-nhan-kcn-ve-que</t>
        </is>
      </c>
      <c r="H62" s="6" t="inlineStr">
        <is>
          <t>KC65</t>
        </is>
      </c>
      <c r="I62" s="6" t="inlineStr">
        <is>
          <t>FUYU HỒNG HẢI - KCN QUANG CHÂU - BẮC GIANG</t>
        </is>
      </c>
      <c r="J62" s="6" t="inlineStr">
        <is>
          <t>KCN / nhà trọ</t>
        </is>
      </c>
      <c r="K62" s="8" t="n">
        <v>35000</v>
      </c>
      <c r="L62" s="6" t="inlineStr">
        <is>
          <t>3 ảnh</t>
        </is>
      </c>
      <c r="M62" s="6" t="inlineStr">
        <is>
          <t>Có</t>
        </is>
      </c>
      <c r="N62" s="6" t="inlineStr">
        <is>
          <t>Hẹn đăng</t>
        </is>
      </c>
      <c r="O62" s="6" t="n">
        <v>438</v>
      </c>
      <c r="P62" s="6" t="n">
        <v>558</v>
      </c>
    </row>
    <row r="63">
      <c r="A63" s="6" t="inlineStr">
        <is>
          <t>T2 02/11</t>
        </is>
      </c>
      <c r="B63" s="6" t="inlineStr">
        <is>
          <t>08:41</t>
        </is>
      </c>
      <c r="C63" s="6" t="inlineStr">
        <is>
          <t>Golden Hill</t>
        </is>
      </c>
      <c r="D63" s="6" t="n">
        <v>9</v>
      </c>
      <c r="E63" s="6" t="inlineStr">
        <is>
          <t>Khu dân cư mới giữa trung tâm xã</t>
        </is>
      </c>
      <c r="F63" s="6" t="inlineStr">
        <is>
          <t>📍 KHU DÂN CƯ MỚI: CHỈ VỚI 500 TRIỆU ĐÃ SỞ HỮU LÔ ĐẤT</t>
        </is>
      </c>
      <c r="G63" s="6" t="inlineStr">
        <is>
          <t>Người tìm đất xây nhà</t>
        </is>
      </c>
      <c r="H63" s="6" t="inlineStr">
        <is>
          <t>TY89</t>
        </is>
      </c>
      <c r="I63" s="6" t="inlineStr">
        <is>
          <t>Chợ Mọc Tân Yên Bắc Giang</t>
        </is>
      </c>
      <c r="J63" s="6" t="inlineStr">
        <is>
          <t>Chợ địa phương</t>
        </is>
      </c>
      <c r="K63" s="8" t="n">
        <v>78000</v>
      </c>
      <c r="L63" s="6" t="inlineStr">
        <is>
          <t>3 ảnh</t>
        </is>
      </c>
      <c r="M63" s="6" t="inlineStr">
        <is>
          <t>Có</t>
        </is>
      </c>
      <c r="N63" s="6" t="inlineStr">
        <is>
          <t>Hẹn đăng</t>
        </is>
      </c>
      <c r="O63" s="6" t="n">
        <v>439</v>
      </c>
      <c r="P63" s="6" t="n">
        <v>137</v>
      </c>
    </row>
    <row r="64">
      <c r="A64" s="6" t="inlineStr">
        <is>
          <t>T2 02/11</t>
        </is>
      </c>
      <c r="B64" s="6" t="inlineStr">
        <is>
          <t>09:26</t>
        </is>
      </c>
      <c r="C64" s="6" t="inlineStr">
        <is>
          <t>Golden Hill</t>
        </is>
      </c>
      <c r="D64" s="6" t="n">
        <v>10</v>
      </c>
      <c r="E64" s="6" t="inlineStr">
        <is>
          <t>Nhìn từ trên cao / mặt đường</t>
        </is>
      </c>
      <c r="F64" s="6" t="inlineStr">
        <is>
          <t>🏡 ĐẤT CỦA RIÊNG MÌNH? CHỈ VỚI 500 TRIỆU ĐÃ SỞ HỮU LÔ ĐẤT</t>
        </is>
      </c>
      <c r="G64" s="6" t="inlineStr">
        <is>
          <t>cong-nhan-kcn-thue-tro</t>
        </is>
      </c>
      <c r="H64" s="6" t="inlineStr">
        <is>
          <t>KC66</t>
        </is>
      </c>
      <c r="I64" s="6" t="inlineStr">
        <is>
          <t>Nhà Trọ KCN Đình Trám, Quang Châu, Vân Trung, Song Khê</t>
        </is>
      </c>
      <c r="J64" s="6" t="inlineStr">
        <is>
          <t>KCN / nhà trọ</t>
        </is>
      </c>
      <c r="K64" s="8" t="n">
        <v>121000</v>
      </c>
      <c r="L64" s="6" t="inlineStr">
        <is>
          <t>3 ảnh</t>
        </is>
      </c>
      <c r="M64" s="6" t="inlineStr">
        <is>
          <t>Có</t>
        </is>
      </c>
      <c r="N64" s="6" t="inlineStr">
        <is>
          <t>Hẹn đăng</t>
        </is>
      </c>
      <c r="O64" s="6" t="n">
        <v>440</v>
      </c>
      <c r="P64" s="6" t="n">
        <v>539</v>
      </c>
    </row>
    <row r="65">
      <c r="A65" s="6" t="inlineStr">
        <is>
          <t>T2 02/11</t>
        </is>
      </c>
      <c r="B65" s="6" t="inlineStr">
        <is>
          <t>10:58</t>
        </is>
      </c>
      <c r="C65" s="6" t="inlineStr">
        <is>
          <t>Golden Hill</t>
        </is>
      </c>
      <c r="D65" s="6" t="n">
        <v>11</v>
      </c>
      <c r="E65" s="6" t="inlineStr">
        <is>
          <t>Vẫn có khách giao dịch, CĐT dẫn đi xem</t>
        </is>
      </c>
      <c r="F65" s="6" t="inlineStr">
        <is>
          <t>🏡 BÀ CON TÂN YÊN: CHỈ VỚI 500 TRIỆU ĐÃ SỞ HỮU LÔ ĐẤT</t>
        </is>
      </c>
      <c r="G65" s="6" t="inlineStr">
        <is>
          <t>Người tìm đất xây nhà</t>
        </is>
      </c>
      <c r="H65" s="6" t="inlineStr">
        <is>
          <t>TY90</t>
        </is>
      </c>
      <c r="I65" s="6" t="inlineStr">
        <is>
          <t>Tân Yên - Bắc Giang</t>
        </is>
      </c>
      <c r="J65" s="6" t="inlineStr">
        <is>
          <t>Cộng đồng / hội</t>
        </is>
      </c>
      <c r="K65" s="8" t="n">
        <v>20000</v>
      </c>
      <c r="L65" s="6" t="inlineStr">
        <is>
          <t>3 ảnh</t>
        </is>
      </c>
      <c r="M65" s="6" t="inlineStr">
        <is>
          <t>Có</t>
        </is>
      </c>
      <c r="N65" s="6" t="inlineStr">
        <is>
          <t>Hẹn đăng</t>
        </is>
      </c>
      <c r="O65" s="6" t="n">
        <v>441</v>
      </c>
      <c r="P65" s="6" t="n">
        <v>783</v>
      </c>
    </row>
    <row r="66">
      <c r="A66" s="6" t="inlineStr">
        <is>
          <t>T2 02/11</t>
        </is>
      </c>
      <c r="B66" s="6" t="inlineStr">
        <is>
          <t>12:34</t>
        </is>
      </c>
      <c r="C66" s="6" t="inlineStr">
        <is>
          <t>Golden Hill</t>
        </is>
      </c>
      <c r="D66" s="6" t="n">
        <v>12</v>
      </c>
      <c r="E66" s="6" t="inlineStr">
        <is>
          <t>Người các xã lân cận</t>
        </is>
      </c>
      <c r="F66" s="6" t="inlineStr">
        <is>
          <t>📍 CẦN LÔ XÂY NHÀ? CHỈ VỚI 500 TRIỆU ĐÃ SỞ HỮU LÔ ĐẤT</t>
        </is>
      </c>
      <c r="G66" s="6" t="inlineStr">
        <is>
          <t>nguoi-xa-lan-can-lam-nha</t>
        </is>
      </c>
      <c r="H66" s="6" t="inlineStr">
        <is>
          <t>YT118</t>
        </is>
      </c>
      <c r="I66" s="6" t="inlineStr">
        <is>
          <t>Yên Thế - Bắc Giang</t>
        </is>
      </c>
      <c r="J66" s="6" t="inlineStr">
        <is>
          <t>Cộng đồng / hội</t>
        </is>
      </c>
      <c r="K66" s="8" t="n">
        <v>7900</v>
      </c>
      <c r="L66" s="6" t="inlineStr">
        <is>
          <t>3 ảnh</t>
        </is>
      </c>
      <c r="M66" s="6" t="inlineStr">
        <is>
          <t>Có</t>
        </is>
      </c>
      <c r="N66" s="6" t="inlineStr">
        <is>
          <t>Hẹn đăng</t>
        </is>
      </c>
      <c r="O66" s="6" t="n">
        <v>442</v>
      </c>
      <c r="P66" s="6" t="n">
        <v>785</v>
      </c>
    </row>
    <row r="67">
      <c r="A67" s="6" t="inlineStr">
        <is>
          <t>T2 02/11</t>
        </is>
      </c>
      <c r="B67" s="6" t="inlineStr">
        <is>
          <t>13:16</t>
        </is>
      </c>
      <c r="C67" s="6" t="inlineStr">
        <is>
          <t>Golden Hill</t>
        </is>
      </c>
      <c r="D67" s="6" t="n">
        <v>4</v>
      </c>
      <c r="E67" s="6" t="inlineStr">
        <is>
          <t>Tết về quê có đất riêng</t>
        </is>
      </c>
      <c r="F67" s="6" t="inlineStr">
        <is>
          <t>🏡 DỊP TẾT, CÓ ĐẤT? CHỈ VỚI 500 TRIỆU ĐÃ SỞ HỮU LÔ ĐẤT</t>
        </is>
      </c>
      <c r="G67" s="6" t="inlineStr">
        <is>
          <t>cong-nhan-kcn-thue-tro-tet</t>
        </is>
      </c>
      <c r="H67" s="6" t="inlineStr">
        <is>
          <t>KC67</t>
        </is>
      </c>
      <c r="I67" s="6" t="inlineStr">
        <is>
          <t>NHÀ TRỌ KCN ĐÌNH TRÁM, VÂN TRUNG, QUANG CHÂU</t>
        </is>
      </c>
      <c r="J67" s="6" t="inlineStr">
        <is>
          <t>KCN / nhà trọ</t>
        </is>
      </c>
      <c r="K67" s="8" t="n">
        <v>66000</v>
      </c>
      <c r="L67" s="6" t="inlineStr">
        <is>
          <t>3 ảnh</t>
        </is>
      </c>
      <c r="M67" s="6" t="inlineStr">
        <is>
          <t>Có</t>
        </is>
      </c>
      <c r="N67" s="6" t="inlineStr">
        <is>
          <t>Hẹn đăng</t>
        </is>
      </c>
      <c r="O67" s="6" t="n">
        <v>443</v>
      </c>
      <c r="P67" s="6" t="n">
        <v>543</v>
      </c>
    </row>
    <row r="68">
      <c r="A68" s="6" t="inlineStr">
        <is>
          <t>T2 02/11</t>
        </is>
      </c>
      <c r="B68" s="6" t="inlineStr">
        <is>
          <t>15:18</t>
        </is>
      </c>
      <c r="C68" s="6" t="inlineStr">
        <is>
          <t>Golden Hill</t>
        </is>
      </c>
      <c r="D68" s="6" t="n">
        <v>1</v>
      </c>
      <c r="E68" s="6" t="inlineStr">
        <is>
          <t>Rủ anh em, họ hàng mua gần nhau</t>
        </is>
      </c>
      <c r="F68" s="6" t="inlineStr">
        <is>
          <t>✅ ĐI XEM CHUNG? CHỈ VỚI 500 TRIỆU ĐÃ SỞ HỮU LÔ ĐẤT</t>
        </is>
      </c>
      <c r="G68" s="6" t="inlineStr">
        <is>
          <t>anh-em-xem-dat-chung</t>
        </is>
      </c>
      <c r="H68" s="6" t="inlineStr">
        <is>
          <t>TY91</t>
        </is>
      </c>
      <c r="I68" s="6" t="inlineStr">
        <is>
          <t>Bất Động Sản Tân Yên - Bắc Giang</t>
        </is>
      </c>
      <c r="J68" s="6" t="inlineStr">
        <is>
          <t>Nhà đất / BĐS</t>
        </is>
      </c>
      <c r="K68" s="8" t="n">
        <v>14000</v>
      </c>
      <c r="L68" s="6" t="inlineStr">
        <is>
          <t>3 ảnh</t>
        </is>
      </c>
      <c r="M68" s="6" t="inlineStr">
        <is>
          <t>Có</t>
        </is>
      </c>
      <c r="N68" s="6" t="inlineStr">
        <is>
          <t>Hẹn đăng</t>
        </is>
      </c>
      <c r="O68" s="6" t="n">
        <v>444</v>
      </c>
      <c r="P68" s="6" t="n">
        <v>18</v>
      </c>
    </row>
    <row r="69">
      <c r="A69" s="6" t="inlineStr">
        <is>
          <t>T2 02/11</t>
        </is>
      </c>
      <c r="B69" s="6" t="inlineStr">
        <is>
          <t>16:02</t>
        </is>
      </c>
      <c r="C69" s="6" t="inlineStr">
        <is>
          <t>Golden Hill</t>
        </is>
      </c>
      <c r="D69" s="6" t="n">
        <v>2</v>
      </c>
      <c r="E69" s="6" t="inlineStr">
        <is>
          <t>Hai vợ chồng cùng đi xem</t>
        </is>
      </c>
      <c r="F69" s="6" t="inlineStr">
        <is>
          <t>📍 VỢ CHỒNG CÙNG GẬT? CHỈ VỚI 500 TRIỆU ĐÃ SỞ HỮU LÔ ĐẤT</t>
        </is>
      </c>
      <c r="G69" s="6" t="inlineStr">
        <is>
          <t>vo-chong-cung-xem-dat</t>
        </is>
      </c>
      <c r="H69" s="6" t="inlineStr">
        <is>
          <t>YT119</t>
        </is>
      </c>
      <c r="I69" s="6" t="inlineStr">
        <is>
          <t>XÃ YÊN THẾ MỚI</t>
        </is>
      </c>
      <c r="J69" s="6" t="inlineStr">
        <is>
          <t>Cộng đồng / hội</t>
        </is>
      </c>
      <c r="K69" s="8" t="n">
        <v>8900</v>
      </c>
      <c r="L69" s="6" t="inlineStr">
        <is>
          <t>3 ảnh</t>
        </is>
      </c>
      <c r="M69" s="6" t="inlineStr">
        <is>
          <t>Có</t>
        </is>
      </c>
      <c r="N69" s="6" t="inlineStr">
        <is>
          <t>Hẹn đăng</t>
        </is>
      </c>
      <c r="O69" s="6" t="n">
        <v>445</v>
      </c>
      <c r="P69" s="6" t="n">
        <v>58</v>
      </c>
    </row>
    <row r="70">
      <c r="A70" s="6" t="inlineStr">
        <is>
          <t>T2 02/11</t>
        </is>
      </c>
      <c r="B70" s="6" t="inlineStr">
        <is>
          <t>17:54</t>
        </is>
      </c>
      <c r="C70" s="6" t="inlineStr">
        <is>
          <t>Golden Hill</t>
        </is>
      </c>
      <c r="D70" s="6" t="n">
        <v>3</v>
      </c>
      <c r="E70" s="6" t="inlineStr">
        <is>
          <t>Đất làm nhà cưới cho con</t>
        </is>
      </c>
      <c r="F70" s="6" t="inlineStr">
        <is>
          <t>🏡 CON LẬP TỔ ẤM? CHỈ VỚI 500 TRIỆU ĐÃ SỞ HỮU LÔ ĐẤT</t>
        </is>
      </c>
      <c r="G70" s="6" t="inlineStr">
        <is>
          <t>phu-huynh-lam-nha-cho-con</t>
        </is>
      </c>
      <c r="H70" s="6" t="inlineStr">
        <is>
          <t>TY92</t>
        </is>
      </c>
      <c r="I70" s="6" t="inlineStr">
        <is>
          <t>Người Tân Yên</t>
        </is>
      </c>
      <c r="J70" s="6" t="inlineStr">
        <is>
          <t>Cộng đồng / hội</t>
        </is>
      </c>
      <c r="K70" s="8" t="n">
        <v>18000</v>
      </c>
      <c r="L70" s="6" t="inlineStr">
        <is>
          <t>3 ảnh</t>
        </is>
      </c>
      <c r="M70" s="6" t="inlineStr">
        <is>
          <t>Có</t>
        </is>
      </c>
      <c r="N70" s="6" t="inlineStr">
        <is>
          <t>Hẹn đăng</t>
        </is>
      </c>
      <c r="O70" s="6" t="n">
        <v>446</v>
      </c>
      <c r="P70" s="6" t="n">
        <v>784</v>
      </c>
    </row>
    <row r="71">
      <c r="A71" s="6" t="inlineStr">
        <is>
          <t>T2 02/11</t>
        </is>
      </c>
      <c r="B71" s="6" t="inlineStr">
        <is>
          <t>19:10</t>
        </is>
      </c>
      <c r="C71" s="6" t="inlineStr">
        <is>
          <t>Golden Hill</t>
        </is>
      </c>
      <c r="D71" s="6" t="n">
        <v>5</v>
      </c>
      <c r="E71" s="6" t="inlineStr">
        <is>
          <t>Tối cho con ra quảng trường chơi</t>
        </is>
      </c>
      <c r="F71" s="6" t="inlineStr">
        <is>
          <t>🌙 SÂN CHƠI CHO CON? CHỈ VỚI 500 TRIỆU ĐÃ SỞ HỮU LÔ ĐẤT</t>
        </is>
      </c>
      <c r="G71" s="6" t="inlineStr">
        <is>
          <t>cong-nhan-kcn-co-con-nho</t>
        </is>
      </c>
      <c r="H71" s="6" t="inlineStr">
        <is>
          <t>KC68</t>
        </is>
      </c>
      <c r="I71" s="6" t="inlineStr">
        <is>
          <t>Nhà trọ quang châu</t>
        </is>
      </c>
      <c r="J71" s="6" t="inlineStr">
        <is>
          <t>KCN / nhà trọ</t>
        </is>
      </c>
      <c r="K71" s="8" t="n">
        <v>63000</v>
      </c>
      <c r="L71" s="6" t="inlineStr">
        <is>
          <t>3 ảnh</t>
        </is>
      </c>
      <c r="M71" s="6" t="inlineStr">
        <is>
          <t>Có</t>
        </is>
      </c>
      <c r="N71" s="6" t="inlineStr">
        <is>
          <t>Hẹn đăng</t>
        </is>
      </c>
      <c r="O71" s="6" t="n">
        <v>447</v>
      </c>
      <c r="P71" s="6" t="n">
        <v>544</v>
      </c>
    </row>
    <row r="72">
      <c r="A72" s="6" t="inlineStr">
        <is>
          <t>T2 02/11</t>
        </is>
      </c>
      <c r="B72" s="6" t="inlineStr">
        <is>
          <t>20:40</t>
        </is>
      </c>
      <c r="C72" s="6" t="inlineStr">
        <is>
          <t>Golden Hill</t>
        </is>
      </c>
      <c r="D72" s="6" t="n">
        <v>5</v>
      </c>
      <c r="E72" s="6" t="inlineStr">
        <is>
          <t>Tối cho con ra quảng trường chơi</t>
        </is>
      </c>
      <c r="F72" s="6" t="inlineStr">
        <is>
          <t>🌙 ĐI XEM BUỔI TỐI? CHỈ VỚI 500 TRIỆU ĐÃ SỞ HỮU LÔ ĐẤT</t>
        </is>
      </c>
      <c r="G72" s="6" t="inlineStr">
        <is>
          <t>Người tìm đất xây nhà</t>
        </is>
      </c>
      <c r="H72" s="6" t="inlineStr">
        <is>
          <t>TY93</t>
        </is>
      </c>
      <c r="I72" s="6" t="inlineStr">
        <is>
          <t>BDS Tân yên Bắc Ninh</t>
        </is>
      </c>
      <c r="J72" s="6" t="inlineStr">
        <is>
          <t>Nhà đất / BĐS</t>
        </is>
      </c>
      <c r="K72" s="8" t="n">
        <v>50000</v>
      </c>
      <c r="L72" s="6" t="inlineStr">
        <is>
          <t>3 ảnh</t>
        </is>
      </c>
      <c r="M72" s="6" t="inlineStr">
        <is>
          <t>Có</t>
        </is>
      </c>
      <c r="N72" s="6" t="inlineStr">
        <is>
          <t>Hẹn đăng</t>
        </is>
      </c>
      <c r="O72" s="6" t="n">
        <v>448</v>
      </c>
      <c r="P72" s="6" t="n">
        <v>111</v>
      </c>
    </row>
    <row r="73">
      <c r="A73" s="6" t="inlineStr">
        <is>
          <t>T2 02/11</t>
        </is>
      </c>
      <c r="B73" s="6" t="inlineStr">
        <is>
          <t>21:28</t>
        </is>
      </c>
      <c r="C73" s="6" t="inlineStr">
        <is>
          <t>Golden Hill</t>
        </is>
      </c>
      <c r="D73" s="6" t="n">
        <v>5</v>
      </c>
      <c r="E73" s="6" t="inlineStr">
        <is>
          <t>Tối cho con ra quảng trường chơi</t>
        </is>
      </c>
      <c r="F73" s="6" t="inlineStr">
        <is>
          <t>📍 NUÔI GÀ ĐỒI? CHỈ VỚI 500 TRIỆU ĐÃ SỞ HỮU LÔ ĐẤT</t>
        </is>
      </c>
      <c r="G73" s="6" t="inlineStr">
        <is>
          <t>hoi-nghe-lam-nha</t>
        </is>
      </c>
      <c r="H73" s="6" t="inlineStr">
        <is>
          <t>YT120</t>
        </is>
      </c>
      <c r="I73" s="6" t="inlineStr">
        <is>
          <t>Hội chăn nuôi gà Gà Đồi Yên Thế</t>
        </is>
      </c>
      <c r="J73" s="6" t="inlineStr">
        <is>
          <t>Cộng đồng / hội</t>
        </is>
      </c>
      <c r="K73" s="8" t="n">
        <v>12000</v>
      </c>
      <c r="L73" s="6" t="inlineStr">
        <is>
          <t>3 ảnh</t>
        </is>
      </c>
      <c r="M73" s="6" t="inlineStr">
        <is>
          <t>Có</t>
        </is>
      </c>
      <c r="N73" s="6" t="inlineStr">
        <is>
          <t>Hẹn đăng</t>
        </is>
      </c>
      <c r="O73" s="6" t="n">
        <v>449</v>
      </c>
      <c r="P73" s="6" t="n">
        <v>794</v>
      </c>
    </row>
    <row r="74">
      <c r="A74" s="6" t="inlineStr">
        <is>
          <t>T3 03/11</t>
        </is>
      </c>
      <c r="B74" s="6" t="inlineStr">
        <is>
          <t>06:36</t>
        </is>
      </c>
      <c r="C74" s="6" t="inlineStr">
        <is>
          <t>Golden Hill</t>
        </is>
      </c>
      <c r="D74" s="6" t="n">
        <v>6</v>
      </c>
      <c r="E74" s="6" t="inlineStr">
        <is>
          <t>Dạo một vòng bằng flycam</t>
        </is>
      </c>
      <c r="F74" s="6" t="inlineStr">
        <is>
          <t>📍 ĐẤT NHÌN TỪ FLYCAM: CHỈ VỚI 500 TRIỆU ĐÃ SỞ HỮU LÔ ĐẤT</t>
        </is>
      </c>
      <c r="G74" s="6" t="inlineStr">
        <is>
          <t>Người tìm đất xây nhà</t>
        </is>
      </c>
      <c r="H74" s="6" t="inlineStr">
        <is>
          <t>TY94</t>
        </is>
      </c>
      <c r="I74" s="6" t="inlineStr">
        <is>
          <t>Xã Phúc Hoà - Tỉnh Bắc Ninh ( Hợp Đức- Tân Yên-Bắc Giang)</t>
        </is>
      </c>
      <c r="J74" s="6" t="inlineStr">
        <is>
          <t>Cộng đồng / hội</t>
        </is>
      </c>
      <c r="K74" s="8" t="n">
        <v>6700</v>
      </c>
      <c r="L74" s="6" t="inlineStr">
        <is>
          <t>3 ảnh</t>
        </is>
      </c>
      <c r="M74" s="6" t="inlineStr">
        <is>
          <t>Có</t>
        </is>
      </c>
      <c r="N74" s="6" t="inlineStr">
        <is>
          <t>Hẹn đăng</t>
        </is>
      </c>
      <c r="O74" s="6" t="n">
        <v>450</v>
      </c>
      <c r="P74" s="6" t="n">
        <v>789</v>
      </c>
    </row>
    <row r="75">
      <c r="A75" s="6" t="inlineStr">
        <is>
          <t>T3 03/11</t>
        </is>
      </c>
      <c r="B75" s="6" t="inlineStr">
        <is>
          <t>07:52</t>
        </is>
      </c>
      <c r="C75" s="6" t="inlineStr">
        <is>
          <t>Golden Hill</t>
        </is>
      </c>
      <c r="D75" s="6" t="n">
        <v>7</v>
      </c>
      <c r="E75" s="6" t="inlineStr">
        <is>
          <t>Hỏi nhanh – đáp nhanh</t>
        </is>
      </c>
      <c r="F75" s="6" t="inlineStr">
        <is>
          <t>✅ HỎI ĐÁP NGẮN: CHỈ VỚI 500 TRIỆU ĐÃ SỞ HỮU LÔ ĐẤT</t>
        </is>
      </c>
      <c r="G75" s="6" t="inlineStr">
        <is>
          <t>cong-nhan-kcn-xem-dat</t>
        </is>
      </c>
      <c r="H75" s="6" t="inlineStr">
        <is>
          <t>KC69</t>
        </is>
      </c>
      <c r="I75" s="6" t="inlineStr">
        <is>
          <t>Chợ Vân Cốc, Trung Đồng Vân Trung</t>
        </is>
      </c>
      <c r="J75" s="6" t="inlineStr">
        <is>
          <t>Chợ địa phương</t>
        </is>
      </c>
      <c r="K75" s="8" t="n">
        <v>62000</v>
      </c>
      <c r="L75" s="6" t="inlineStr">
        <is>
          <t>3 ảnh</t>
        </is>
      </c>
      <c r="M75" s="6" t="inlineStr">
        <is>
          <t>Có</t>
        </is>
      </c>
      <c r="N75" s="6" t="inlineStr">
        <is>
          <t>Hẹn đăng</t>
        </is>
      </c>
      <c r="O75" s="6" t="n">
        <v>451</v>
      </c>
      <c r="P75" s="6" t="n">
        <v>546</v>
      </c>
    </row>
    <row r="76">
      <c r="A76" s="6" t="inlineStr">
        <is>
          <t>T3 03/11</t>
        </is>
      </c>
      <c r="B76" s="6" t="inlineStr">
        <is>
          <t>09:47</t>
        </is>
      </c>
      <c r="C76" s="6" t="inlineStr">
        <is>
          <t>Golden Hill</t>
        </is>
      </c>
      <c r="D76" s="6" t="n">
        <v>8</v>
      </c>
      <c r="E76" s="6" t="inlineStr">
        <is>
          <t>Làm KCN, về quê có đất</t>
        </is>
      </c>
      <c r="F76" s="6" t="inlineStr">
        <is>
          <t>🏡 LÀM XA, VỀ QUÊ? CHỈ VỚI 500 TRIỆU ĐÃ SỞ HỮU LÔ ĐẤT</t>
        </is>
      </c>
      <c r="G76" s="6" t="inlineStr">
        <is>
          <t>nguoi-lam-xa-ve-que</t>
        </is>
      </c>
      <c r="H76" s="6" t="inlineStr">
        <is>
          <t>TY95</t>
        </is>
      </c>
      <c r="I76" s="6" t="inlineStr">
        <is>
          <t>Chợ Tân Yên - Bắc Giang</t>
        </is>
      </c>
      <c r="J76" s="6" t="inlineStr">
        <is>
          <t>Chợ địa phương</t>
        </is>
      </c>
      <c r="K76" s="8" t="n">
        <v>50000</v>
      </c>
      <c r="L76" s="6" t="inlineStr">
        <is>
          <t>3 ảnh</t>
        </is>
      </c>
      <c r="M76" s="6" t="inlineStr">
        <is>
          <t>Có</t>
        </is>
      </c>
      <c r="N76" s="6" t="inlineStr">
        <is>
          <t>Hẹn đăng</t>
        </is>
      </c>
      <c r="O76" s="6" t="n">
        <v>452</v>
      </c>
      <c r="P76" s="6" t="n">
        <v>115</v>
      </c>
    </row>
    <row r="77">
      <c r="A77" s="6" t="inlineStr">
        <is>
          <t>T3 03/11</t>
        </is>
      </c>
      <c r="B77" s="6" t="inlineStr">
        <is>
          <t>10:42</t>
        </is>
      </c>
      <c r="C77" s="6" t="inlineStr">
        <is>
          <t>Golden Hill</t>
        </is>
      </c>
      <c r="D77" s="6" t="n">
        <v>9</v>
      </c>
      <c r="E77" s="6" t="inlineStr">
        <is>
          <t>Khu dân cư mới giữa trung tâm xã</t>
        </is>
      </c>
      <c r="F77" s="6" t="inlineStr">
        <is>
          <t>🏡 BÀ CON SƠN TOA: CHỈ VỚI 500 TRIỆU ĐÃ SỞ HỮU LÔ ĐẤT</t>
        </is>
      </c>
      <c r="G77" s="6" t="inlineStr">
        <is>
          <t>nguoi-cao-tuoi-lo-dat-cho-con</t>
        </is>
      </c>
      <c r="H77" s="6" t="inlineStr">
        <is>
          <t>YT121</t>
        </is>
      </c>
      <c r="I77" s="6" t="inlineStr">
        <is>
          <t>Sơn Toa Yên Thế</t>
        </is>
      </c>
      <c r="J77" s="6" t="inlineStr">
        <is>
          <t>Cộng đồng / hội</t>
        </is>
      </c>
      <c r="K77" s="8" t="n">
        <v>16000</v>
      </c>
      <c r="L77" s="6" t="inlineStr">
        <is>
          <t>3 ảnh</t>
        </is>
      </c>
      <c r="M77" s="6" t="inlineStr">
        <is>
          <t>Có</t>
        </is>
      </c>
      <c r="N77" s="6" t="inlineStr">
        <is>
          <t>Hẹn đăng</t>
        </is>
      </c>
      <c r="O77" s="6" t="n">
        <v>453</v>
      </c>
      <c r="P77" s="6" t="n">
        <v>255</v>
      </c>
    </row>
    <row r="78">
      <c r="A78" s="6" t="inlineStr">
        <is>
          <t>T3 03/11</t>
        </is>
      </c>
      <c r="B78" s="6" t="inlineStr">
        <is>
          <t>12:42</t>
        </is>
      </c>
      <c r="C78" s="6" t="inlineStr">
        <is>
          <t>Golden Hill</t>
        </is>
      </c>
      <c r="D78" s="6" t="n">
        <v>10</v>
      </c>
      <c r="E78" s="6" t="inlineStr">
        <is>
          <t>Nhìn từ trên cao / mặt đường</t>
        </is>
      </c>
      <c r="F78" s="6" t="inlineStr">
        <is>
          <t>📍 VỀ QUÊ DỰNG NHÀ: CHỈ VỚI 500 TRIỆU ĐÃ SỞ HỮU LÔ ĐẤT</t>
        </is>
      </c>
      <c r="G78" s="6" t="inlineStr">
        <is>
          <t>cong-nhan-kcn-lo-nha-cho-bo-me</t>
        </is>
      </c>
      <c r="H78" s="6" t="inlineStr">
        <is>
          <t>KC70</t>
        </is>
      </c>
      <c r="I78" s="6" t="inlineStr">
        <is>
          <t>KCN Đình Trám, Hoà Phú, Vân Trung, Quang Châu, Song Khê Bắc Giang</t>
        </is>
      </c>
      <c r="J78" s="6" t="inlineStr">
        <is>
          <t>KCN / nhà trọ</t>
        </is>
      </c>
      <c r="K78" s="8" t="n">
        <v>101000</v>
      </c>
      <c r="L78" s="6" t="inlineStr">
        <is>
          <t>3 ảnh</t>
        </is>
      </c>
      <c r="M78" s="6" t="inlineStr">
        <is>
          <t>Có</t>
        </is>
      </c>
      <c r="N78" s="6" t="inlineStr">
        <is>
          <t>Hẹn đăng</t>
        </is>
      </c>
      <c r="O78" s="6" t="n">
        <v>454</v>
      </c>
      <c r="P78" s="6" t="n">
        <v>540</v>
      </c>
    </row>
    <row r="79">
      <c r="A79" s="6" t="inlineStr">
        <is>
          <t>T3 03/11</t>
        </is>
      </c>
      <c r="B79" s="6" t="inlineStr">
        <is>
          <t>13:51</t>
        </is>
      </c>
      <c r="C79" s="6" t="inlineStr">
        <is>
          <t>Golden Hill</t>
        </is>
      </c>
      <c r="D79" s="6" t="n">
        <v>11</v>
      </c>
      <c r="E79" s="6" t="inlineStr">
        <is>
          <t>Vẫn có khách giao dịch, CĐT dẫn đi xem</t>
        </is>
      </c>
      <c r="F79" s="6" t="inlineStr">
        <is>
          <t>📍 KHÁCH GIAO DỊCH ĐỀU: CHỈ VỚI 500 TRIỆU ĐÃ SỞ HỮU LÔ ĐẤT</t>
        </is>
      </c>
      <c r="G79" s="6" t="inlineStr">
        <is>
          <t>Người tìm đất xây nhà</t>
        </is>
      </c>
      <c r="H79" s="6" t="inlineStr">
        <is>
          <t>YT122</t>
        </is>
      </c>
      <c r="I79" s="6" t="inlineStr">
        <is>
          <t>CHỢ QUÊ :CẦU GỒ - MỎ TRẠNG - XUÂN LƯƠNG - CANH NẬU</t>
        </is>
      </c>
      <c r="J79" s="6" t="inlineStr">
        <is>
          <t>Chợ địa phương</t>
        </is>
      </c>
      <c r="K79" s="8" t="n">
        <v>9700</v>
      </c>
      <c r="L79" s="6" t="inlineStr">
        <is>
          <t>3 ảnh</t>
        </is>
      </c>
      <c r="M79" s="6" t="inlineStr">
        <is>
          <t>Có</t>
        </is>
      </c>
      <c r="N79" s="6" t="inlineStr">
        <is>
          <t>Hẹn đăng</t>
        </is>
      </c>
      <c r="O79" s="6" t="n">
        <v>455</v>
      </c>
      <c r="P79" s="6" t="n">
        <v>81</v>
      </c>
    </row>
    <row r="80">
      <c r="A80" s="6" t="inlineStr">
        <is>
          <t>T3 03/11</t>
        </is>
      </c>
      <c r="B80" s="6" t="inlineStr">
        <is>
          <t>14:53</t>
        </is>
      </c>
      <c r="C80" s="6" t="inlineStr">
        <is>
          <t>Golden Hill</t>
        </is>
      </c>
      <c r="D80" s="6" t="n">
        <v>12</v>
      </c>
      <c r="E80" s="6" t="inlineStr">
        <is>
          <t>Người các xã lân cận</t>
        </is>
      </c>
      <c r="F80" s="6" t="inlineStr">
        <is>
          <t>🔥 TIN ĐẤT Ở QUÊ: CHỈ VỚI 500 TRIỆU ĐÃ SỞ HỮU LÔ ĐẤT</t>
        </is>
      </c>
      <c r="G80" s="6" t="inlineStr">
        <is>
          <t>nguoi-xa-lan-can-lam-nha</t>
        </is>
      </c>
      <c r="H80" s="6" t="inlineStr">
        <is>
          <t>KC71</t>
        </is>
      </c>
      <c r="I80" s="6" t="inlineStr">
        <is>
          <t>Rao Vặt + Ăn Vặt Chợ Phước Yên - KCN Hòa Phú Có Ship</t>
        </is>
      </c>
      <c r="J80" s="6" t="inlineStr">
        <is>
          <t>KCN / nhà trọ</t>
        </is>
      </c>
      <c r="K80" s="8" t="n">
        <v>59000</v>
      </c>
      <c r="L80" s="6" t="inlineStr">
        <is>
          <t>3 ảnh</t>
        </is>
      </c>
      <c r="M80" s="6" t="inlineStr">
        <is>
          <t>Có</t>
        </is>
      </c>
      <c r="N80" s="6" t="inlineStr">
        <is>
          <t>Hẹn đăng</t>
        </is>
      </c>
      <c r="O80" s="6" t="n">
        <v>456</v>
      </c>
      <c r="P80" s="6" t="n">
        <v>547</v>
      </c>
    </row>
    <row r="81">
      <c r="A81" s="6" t="inlineStr">
        <is>
          <t>T3 03/11</t>
        </is>
      </c>
      <c r="B81" s="6" t="inlineStr">
        <is>
          <t>16:21</t>
        </is>
      </c>
      <c r="C81" s="6" t="inlineStr">
        <is>
          <t>Golden Hill</t>
        </is>
      </c>
      <c r="D81" s="6" t="n">
        <v>4</v>
      </c>
      <c r="E81" s="6" t="inlineStr">
        <is>
          <t>Tết về quê có đất riêng</t>
        </is>
      </c>
      <c r="F81" s="6" t="inlineStr">
        <is>
          <t>🏡 NHÀ MỚI, GÓC SÁCH? CHỈ VỚI 500 TRIỆU ĐÃ SỞ HỮU LÔ ĐẤT</t>
        </is>
      </c>
      <c r="G81" s="6" t="inlineStr">
        <is>
          <t>nguoi-song-doc-sach</t>
        </is>
      </c>
      <c r="H81" s="6" t="inlineStr">
        <is>
          <t>TY96</t>
        </is>
      </c>
      <c r="I81" s="6" t="inlineStr">
        <is>
          <t>Nhã Nam reading club</t>
        </is>
      </c>
      <c r="J81" s="6" t="inlineStr">
        <is>
          <t>Cộng đồng / hội</t>
        </is>
      </c>
      <c r="K81" s="8" t="n">
        <v>259000</v>
      </c>
      <c r="L81" s="6" t="inlineStr">
        <is>
          <t>3 ảnh</t>
        </is>
      </c>
      <c r="M81" s="6" t="inlineStr">
        <is>
          <t>Có</t>
        </is>
      </c>
      <c r="N81" s="6" t="inlineStr">
        <is>
          <t>Hẹn đăng</t>
        </is>
      </c>
      <c r="O81" s="6" t="n">
        <v>457</v>
      </c>
      <c r="P81" s="6" t="n">
        <v>139</v>
      </c>
    </row>
    <row r="82">
      <c r="A82" s="6" t="inlineStr">
        <is>
          <t>T3 03/11</t>
        </is>
      </c>
      <c r="B82" s="6" t="inlineStr">
        <is>
          <t>18:03</t>
        </is>
      </c>
      <c r="C82" s="6" t="inlineStr">
        <is>
          <t>Golden Hill</t>
        </is>
      </c>
      <c r="D82" s="6" t="n">
        <v>1</v>
      </c>
      <c r="E82" s="6" t="inlineStr">
        <is>
          <t>Rủ anh em, họ hàng mua gần nhau</t>
        </is>
      </c>
      <c r="F82" s="6" t="inlineStr">
        <is>
          <t>🏡 RỦ ĐỒNG NGHIỆP XEM? CHỈ VỚI 500 TRIỆU ĐÃ SỞ HỮU LÔ ĐẤT</t>
        </is>
      </c>
      <c r="G82" s="6" t="inlineStr">
        <is>
          <t>cong-nhan-kcn-ru-dong-nghiep</t>
        </is>
      </c>
      <c r="H82" s="6" t="inlineStr">
        <is>
          <t>KC72</t>
        </is>
      </c>
      <c r="I82" s="6" t="inlineStr">
        <is>
          <t>KCN Song Khê - Nội Hoàng - Bắc Giang</t>
        </is>
      </c>
      <c r="J82" s="6" t="inlineStr">
        <is>
          <t>KCN / nhà trọ</t>
        </is>
      </c>
      <c r="K82" s="8" t="n">
        <v>70000</v>
      </c>
      <c r="L82" s="6" t="inlineStr">
        <is>
          <t>3 ảnh</t>
        </is>
      </c>
      <c r="M82" s="6" t="inlineStr">
        <is>
          <t>Có</t>
        </is>
      </c>
      <c r="N82" s="6" t="inlineStr">
        <is>
          <t>Hẹn đăng</t>
        </is>
      </c>
      <c r="O82" s="6" t="n">
        <v>458</v>
      </c>
      <c r="P82" s="6" t="n">
        <v>542</v>
      </c>
    </row>
    <row r="83">
      <c r="A83" s="6" t="inlineStr">
        <is>
          <t>T3 03/11</t>
        </is>
      </c>
      <c r="B83" s="6" t="inlineStr">
        <is>
          <t>18:42</t>
        </is>
      </c>
      <c r="C83" s="6" t="inlineStr">
        <is>
          <t>Golden Hill</t>
        </is>
      </c>
      <c r="D83" s="6" t="n">
        <v>2</v>
      </c>
      <c r="E83" s="6" t="inlineStr">
        <is>
          <t>Hai vợ chồng cùng đi xem</t>
        </is>
      </c>
      <c r="F83" s="6" t="inlineStr">
        <is>
          <t>📍 CẢ NHÀ ĐI XEM: CHỈ VỚI 500 TRIỆU ĐÃ SỞ HỮU LÔ ĐẤT</t>
        </is>
      </c>
      <c r="G83" s="6" t="inlineStr">
        <is>
          <t>vo-chong-cung-xem-dat</t>
        </is>
      </c>
      <c r="H83" s="6" t="inlineStr">
        <is>
          <t>TY97</t>
        </is>
      </c>
      <c r="I83" s="6" t="inlineStr">
        <is>
          <t>Bất Động Sản Tân Yên Bắc Giang</t>
        </is>
      </c>
      <c r="J83" s="6" t="inlineStr">
        <is>
          <t>Nhà đất / BĐS</t>
        </is>
      </c>
      <c r="K83" s="8" t="n">
        <v>47000</v>
      </c>
      <c r="L83" s="6" t="inlineStr">
        <is>
          <t>3 ảnh</t>
        </is>
      </c>
      <c r="M83" s="6" t="inlineStr">
        <is>
          <t>Có</t>
        </is>
      </c>
      <c r="N83" s="6" t="inlineStr">
        <is>
          <t>Hẹn đăng</t>
        </is>
      </c>
      <c r="O83" s="6" t="n">
        <v>459</v>
      </c>
      <c r="P83" s="6" t="n">
        <v>130</v>
      </c>
    </row>
    <row r="84">
      <c r="A84" s="6" t="inlineStr">
        <is>
          <t>T3 03/11</t>
        </is>
      </c>
      <c r="B84" s="6" t="inlineStr">
        <is>
          <t>20:22</t>
        </is>
      </c>
      <c r="C84" s="6" t="inlineStr">
        <is>
          <t>Golden Hill</t>
        </is>
      </c>
      <c r="D84" s="6" t="n">
        <v>5</v>
      </c>
      <c r="E84" s="6" t="inlineStr">
        <is>
          <t>Tối cho con ra quảng trường chơi</t>
        </is>
      </c>
      <c r="F84" s="6" t="inlineStr">
        <is>
          <t>🌙 KHU MỚI BUỔI TỐI: CHỈ VỚI 500 TRIỆU ĐÃ SỞ HỮU LÔ ĐẤT</t>
        </is>
      </c>
      <c r="G84" s="6" t="inlineStr">
        <is>
          <t>cong-nhan-kcn-co-con-nho</t>
        </is>
      </c>
      <c r="H84" s="6" t="inlineStr">
        <is>
          <t>KC73</t>
        </is>
      </c>
      <c r="I84" s="6" t="inlineStr">
        <is>
          <t>Chợ My Điền 01,2,3 KCN Đình Trám , Vân Trung , Quang Châu , Bắc Ninh</t>
        </is>
      </c>
      <c r="J84" s="6" t="inlineStr">
        <is>
          <t>KCN / nhà trọ</t>
        </is>
      </c>
      <c r="K84" s="8" t="n">
        <v>55000</v>
      </c>
      <c r="L84" s="6" t="inlineStr">
        <is>
          <t>3 ảnh</t>
        </is>
      </c>
      <c r="M84" s="6" t="inlineStr">
        <is>
          <t>Có</t>
        </is>
      </c>
      <c r="N84" s="6" t="inlineStr">
        <is>
          <t>Hẹn đăng</t>
        </is>
      </c>
      <c r="O84" s="6" t="n">
        <v>460</v>
      </c>
      <c r="P84" s="6" t="n">
        <v>549</v>
      </c>
    </row>
    <row r="85">
      <c r="A85" s="6" t="inlineStr">
        <is>
          <t>T3 03/11</t>
        </is>
      </c>
      <c r="B85" s="6" t="inlineStr">
        <is>
          <t>21:46</t>
        </is>
      </c>
      <c r="C85" s="6" t="inlineStr">
        <is>
          <t>Golden Hill</t>
        </is>
      </c>
      <c r="D85" s="6" t="n">
        <v>5</v>
      </c>
      <c r="E85" s="6" t="inlineStr">
        <is>
          <t>Tối cho con ra quảng trường chơi</t>
        </is>
      </c>
      <c r="F85" s="6" t="inlineStr">
        <is>
          <t>🌙 HỘI DIỀU LÀM NHÀ? CHỈ VỚI 500 TRIỆU ĐÃ SỞ HỮU LÔ ĐẤT</t>
        </is>
      </c>
      <c r="G85" s="6" t="inlineStr">
        <is>
          <t>hoi-so-thich-lam-nha</t>
        </is>
      </c>
      <c r="H85" s="6" t="inlineStr">
        <is>
          <t>TY98</t>
        </is>
      </c>
      <c r="I85" s="6" t="inlineStr">
        <is>
          <t>Hội Diều Sáo Tân Yên</t>
        </is>
      </c>
      <c r="J85" s="6" t="inlineStr">
        <is>
          <t>Cộng đồng / hội</t>
        </is>
      </c>
      <c r="K85" s="8" t="n">
        <v>52000</v>
      </c>
      <c r="L85" s="6" t="inlineStr">
        <is>
          <t>3 ảnh</t>
        </is>
      </c>
      <c r="M85" s="6" t="inlineStr">
        <is>
          <t>Có</t>
        </is>
      </c>
      <c r="N85" s="6" t="inlineStr">
        <is>
          <t>Hẹn đăng</t>
        </is>
      </c>
      <c r="O85" s="6" t="n">
        <v>461</v>
      </c>
      <c r="P85" s="6" t="n">
        <v>128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5" customWidth="1" min="3" max="3"/>
    <col width="11" customWidth="1" min="4" max="4"/>
    <col width="9" customWidth="1" min="5" max="5"/>
    <col width="50" customWidth="1" min="6" max="6"/>
    <col width="10" customWidth="1" min="7" max="7"/>
    <col width="10" customWidth="1" min="8" max="8"/>
    <col width="9" customWidth="1" min="9" max="9"/>
    <col width="12" customWidth="1" min="10" max="10"/>
    <col width="44" customWidth="1" min="11" max="11"/>
  </cols>
  <sheetData>
    <row r="1">
      <c r="A1" s="7" t="inlineStr">
        <is>
          <t>Mã nhóm</t>
        </is>
      </c>
      <c r="B1" s="7" t="inlineStr">
        <is>
          <t>Nhóm</t>
        </is>
      </c>
      <c r="C1" s="7" t="inlineStr">
        <is>
          <t>Loại nhóm</t>
        </is>
      </c>
      <c r="D1" s="7" t="inlineStr">
        <is>
          <t>Thành viên</t>
        </is>
      </c>
      <c r="E1" s="7" t="inlineStr">
        <is>
          <t>Số bài tuần này</t>
        </is>
      </c>
      <c r="F1" s="7" t="inlineStr">
        <is>
          <t>Các lần đăng tuần này (ngày giờ · góc)</t>
        </is>
      </c>
      <c r="G1" s="7" t="inlineStr">
        <is>
          <t>Trước 28/10: đã đăng</t>
        </is>
      </c>
      <c r="H1" s="7" t="inlineStr">
        <is>
          <t>Trước 28/10: hiện ngay</t>
        </is>
      </c>
      <c r="I1" s="7" t="inlineStr">
        <is>
          <t>Tỉ lệ hiện ngay</t>
        </is>
      </c>
      <c r="J1" s="7" t="inlineStr">
        <is>
          <t>Bài cuối trước đây</t>
        </is>
      </c>
      <c r="K1" s="7" t="inlineStr">
        <is>
          <t>Nhận xét</t>
        </is>
      </c>
    </row>
    <row r="2">
      <c r="A2" s="6" t="n">
        <v>542</v>
      </c>
      <c r="B2" s="6" t="inlineStr">
        <is>
          <t>KCN Song Khê - Nội Hoàng - Bắc Giang</t>
        </is>
      </c>
      <c r="C2" s="6" t="inlineStr">
        <is>
          <t>KCN / nhà trọ</t>
        </is>
      </c>
      <c r="D2" s="8" t="n">
        <v>70000</v>
      </c>
      <c r="E2" s="6">
        <f>COUNTIF('Từng bài'!$P$2:$P$85,A2)</f>
        <v/>
      </c>
      <c r="F2" s="6" t="inlineStr">
        <is>
          <t>T4 28/10 13:58 · góc 8; T7 31/10 16:26 · góc 7; T3 03/11 18:03 · góc 1</t>
        </is>
      </c>
      <c r="G2" s="6" t="n">
        <v>0</v>
      </c>
      <c r="H2" s="6" t="n">
        <v>0</v>
      </c>
      <c r="I2" s="9">
        <f>IF(G2=0,"-",H2/G2)</f>
        <v/>
      </c>
      <c r="J2" s="6" t="inlineStr"/>
      <c r="K2" s="6" t="inlineStr">
        <is>
          <t>Nhóm mới, chưa đăng lần nào: theo dõi bài đầu</t>
        </is>
      </c>
    </row>
    <row r="3">
      <c r="A3" s="6" t="n">
        <v>139</v>
      </c>
      <c r="B3" s="6" t="inlineStr">
        <is>
          <t>Nhã Nam reading club</t>
        </is>
      </c>
      <c r="C3" s="6" t="inlineStr">
        <is>
          <t>Cộng đồng / hội</t>
        </is>
      </c>
      <c r="D3" s="8" t="n">
        <v>259000</v>
      </c>
      <c r="E3" s="6">
        <f>COUNTIF('Từng bài'!$P$2:$P$85,A3)</f>
        <v/>
      </c>
      <c r="F3" s="6" t="inlineStr">
        <is>
          <t>T4 28/10 10:02 · góc 3; T7 31/10 12:33 · góc 2; T3 03/11 16:21 · góc 4</t>
        </is>
      </c>
      <c r="G3" s="6" t="n">
        <v>0</v>
      </c>
      <c r="H3" s="6" t="n">
        <v>0</v>
      </c>
      <c r="I3" s="9">
        <f>IF(G3=0,"-",H3/G3)</f>
        <v/>
      </c>
      <c r="J3" s="6" t="inlineStr"/>
      <c r="K3" s="6" t="inlineStr">
        <is>
          <t>Nhóm mới, chưa đăng lần nào: theo dõi bài đầu</t>
        </is>
      </c>
    </row>
    <row r="4">
      <c r="A4" s="6" t="n">
        <v>111</v>
      </c>
      <c r="B4" s="6" t="inlineStr">
        <is>
          <t>BDS Tân yên Bắc Ninh</t>
        </is>
      </c>
      <c r="C4" s="6" t="inlineStr">
        <is>
          <t>Nhà đất / BĐS</t>
        </is>
      </c>
      <c r="D4" s="8" t="n">
        <v>50000</v>
      </c>
      <c r="E4" s="6">
        <f>COUNTIF('Từng bài'!$P$2:$P$85,A4)</f>
        <v/>
      </c>
      <c r="F4" s="6" t="inlineStr">
        <is>
          <t>T6 30/10 14:31 · góc 8; T2 02/11 20:40 · góc 5</t>
        </is>
      </c>
      <c r="G4" s="6" t="n">
        <v>1</v>
      </c>
      <c r="H4" s="6" t="n">
        <v>1</v>
      </c>
      <c r="I4" s="9">
        <f>IF(G4=0,"-",H4/G4)</f>
        <v/>
      </c>
      <c r="J4" s="6" t="inlineStr">
        <is>
          <t>2026-10-27</t>
        </is>
      </c>
      <c r="K4" s="6" t="inlineStr">
        <is>
          <t>Tốt: phần lớn bài hiện ngay</t>
        </is>
      </c>
    </row>
    <row r="5">
      <c r="A5" s="6" t="n">
        <v>7</v>
      </c>
      <c r="B5" s="6" t="inlineStr">
        <is>
          <t>BẤT ĐỘNG SẢN YÊN THẾ</t>
        </is>
      </c>
      <c r="C5" s="6" t="inlineStr">
        <is>
          <t>Nhà đất / BĐS</t>
        </is>
      </c>
      <c r="D5" s="8" t="n">
        <v>6200</v>
      </c>
      <c r="E5" s="6">
        <f>COUNTIF('Từng bài'!$P$2:$P$85,A5)</f>
        <v/>
      </c>
      <c r="F5" s="6" t="inlineStr">
        <is>
          <t>T4 28/10 17:10 · góc 11; T7 31/10 20:41 · góc 5</t>
        </is>
      </c>
      <c r="G5" s="6" t="n">
        <v>4</v>
      </c>
      <c r="H5" s="6" t="n">
        <v>4</v>
      </c>
      <c r="I5" s="9">
        <f>IF(G5=0,"-",H5/G5)</f>
        <v/>
      </c>
      <c r="J5" s="6" t="inlineStr">
        <is>
          <t>2026-10-22</t>
        </is>
      </c>
      <c r="K5" s="6" t="inlineStr">
        <is>
          <t>Tốt: phần lớn bài hiện ngay</t>
        </is>
      </c>
    </row>
    <row r="6">
      <c r="A6" s="6" t="n">
        <v>18</v>
      </c>
      <c r="B6" s="6" t="inlineStr">
        <is>
          <t>Bất Động Sản Tân Yên - Bắc Giang</t>
        </is>
      </c>
      <c r="C6" s="6" t="inlineStr">
        <is>
          <t>Nhà đất / BĐS</t>
        </is>
      </c>
      <c r="D6" s="8" t="n">
        <v>14000</v>
      </c>
      <c r="E6" s="6">
        <f>COUNTIF('Từng bài'!$P$2:$P$85,A6)</f>
        <v/>
      </c>
      <c r="F6" s="6" t="inlineStr">
        <is>
          <t>T5 29/10 20:32 · góc 5; T2 02/11 15:18 · góc 1</t>
        </is>
      </c>
      <c r="G6" s="6" t="n">
        <v>5</v>
      </c>
      <c r="H6" s="6" t="n">
        <v>4</v>
      </c>
      <c r="I6" s="9">
        <f>IF(G6=0,"-",H6/G6)</f>
        <v/>
      </c>
      <c r="J6" s="6" t="inlineStr">
        <is>
          <t>2026-10-25</t>
        </is>
      </c>
      <c r="K6" s="6" t="inlineStr">
        <is>
          <t>Tốt: phần lớn bài hiện ngay</t>
        </is>
      </c>
    </row>
    <row r="7">
      <c r="A7" s="6" t="n">
        <v>81</v>
      </c>
      <c r="B7" s="6" t="inlineStr">
        <is>
          <t>CHỢ QUÊ :CẦU GỒ - MỎ TRẠNG - XUÂN LƯƠNG - CANH NẬU</t>
        </is>
      </c>
      <c r="C7" s="6" t="inlineStr">
        <is>
          <t>Chợ địa phương</t>
        </is>
      </c>
      <c r="D7" s="8" t="n">
        <v>9700</v>
      </c>
      <c r="E7" s="6">
        <f>COUNTIF('Từng bài'!$P$2:$P$85,A7)</f>
        <v/>
      </c>
      <c r="F7" s="6" t="inlineStr">
        <is>
          <t>T6 30/10 20:02 · góc 5; T3 03/11 13:51 · góc 11</t>
        </is>
      </c>
      <c r="G7" s="6" t="n">
        <v>4</v>
      </c>
      <c r="H7" s="6" t="n">
        <v>4</v>
      </c>
      <c r="I7" s="9">
        <f>IF(G7=0,"-",H7/G7)</f>
        <v/>
      </c>
      <c r="J7" s="6" t="inlineStr">
        <is>
          <t>2026-10-26</t>
        </is>
      </c>
      <c r="K7" s="6" t="inlineStr">
        <is>
          <t>Tốt: phần lớn bài hiện ngay</t>
        </is>
      </c>
    </row>
    <row r="8">
      <c r="A8" s="6" t="n">
        <v>549</v>
      </c>
      <c r="B8" s="6" t="inlineStr">
        <is>
          <t>Chợ My Điền 01,2,3 KCN Đình Trám , Vân Trung , Quang Châu , Bắc Ninh</t>
        </is>
      </c>
      <c r="C8" s="6" t="inlineStr">
        <is>
          <t>KCN / nhà trọ</t>
        </is>
      </c>
      <c r="D8" s="8" t="n">
        <v>55000</v>
      </c>
      <c r="E8" s="6">
        <f>COUNTIF('Từng bài'!$P$2:$P$85,A8)</f>
        <v/>
      </c>
      <c r="F8" s="6" t="inlineStr">
        <is>
          <t>T6 30/10 19:21 · góc 5; T3 03/11 20:22 · góc 5</t>
        </is>
      </c>
      <c r="G8" s="6" t="n">
        <v>0</v>
      </c>
      <c r="H8" s="6" t="n">
        <v>0</v>
      </c>
      <c r="I8" s="9">
        <f>IF(G8=0,"-",H8/G8)</f>
        <v/>
      </c>
      <c r="J8" s="6" t="inlineStr"/>
      <c r="K8" s="6" t="inlineStr">
        <is>
          <t>Nhóm mới, chưa đăng lần nào: theo dõi bài đầu</t>
        </is>
      </c>
    </row>
    <row r="9">
      <c r="A9" s="6" t="n">
        <v>137</v>
      </c>
      <c r="B9" s="6" t="inlineStr">
        <is>
          <t>Chợ Mọc Tân Yên Bắc Giang</t>
        </is>
      </c>
      <c r="C9" s="6" t="inlineStr">
        <is>
          <t>Chợ địa phương</t>
        </is>
      </c>
      <c r="D9" s="8" t="n">
        <v>78000</v>
      </c>
      <c r="E9" s="6">
        <f>COUNTIF('Từng bài'!$P$2:$P$85,A9)</f>
        <v/>
      </c>
      <c r="F9" s="6" t="inlineStr">
        <is>
          <t>T5 29/10 14:46 · góc 9; T2 02/11 08:41 · góc 9</t>
        </is>
      </c>
      <c r="G9" s="6" t="n">
        <v>4</v>
      </c>
      <c r="H9" s="6" t="n">
        <v>4</v>
      </c>
      <c r="I9" s="9">
        <f>IF(G9=0,"-",H9/G9)</f>
        <v/>
      </c>
      <c r="J9" s="6" t="inlineStr">
        <is>
          <t>2026-10-24</t>
        </is>
      </c>
      <c r="K9" s="6" t="inlineStr">
        <is>
          <t>Tốt: phần lớn bài hiện ngay</t>
        </is>
      </c>
    </row>
    <row r="10">
      <c r="A10" s="6" t="n">
        <v>115</v>
      </c>
      <c r="B10" s="6" t="inlineStr">
        <is>
          <t>Chợ Tân Yên - Bắc Giang</t>
        </is>
      </c>
      <c r="C10" s="6" t="inlineStr">
        <is>
          <t>Chợ địa phương</t>
        </is>
      </c>
      <c r="D10" s="8" t="n">
        <v>50000</v>
      </c>
      <c r="E10" s="6">
        <f>COUNTIF('Từng bài'!$P$2:$P$85,A10)</f>
        <v/>
      </c>
      <c r="F10" s="6" t="inlineStr">
        <is>
          <t>T6 30/10 09:57 · góc 2; T3 03/11 09:47 · góc 8</t>
        </is>
      </c>
      <c r="G10" s="6" t="n">
        <v>4</v>
      </c>
      <c r="H10" s="6" t="n">
        <v>4</v>
      </c>
      <c r="I10" s="9">
        <f>IF(G10=0,"-",H10/G10)</f>
        <v/>
      </c>
      <c r="J10" s="6" t="inlineStr">
        <is>
          <t>2026-10-26</t>
        </is>
      </c>
      <c r="K10" s="6" t="inlineStr">
        <is>
          <t>Tốt: phần lớn bài hiện ngay</t>
        </is>
      </c>
    </row>
    <row r="11">
      <c r="A11" s="6" t="n">
        <v>546</v>
      </c>
      <c r="B11" s="6" t="inlineStr">
        <is>
          <t>Chợ Vân Cốc, Trung Đồng Vân Trung</t>
        </is>
      </c>
      <c r="C11" s="6" t="inlineStr">
        <is>
          <t>Chợ địa phương</t>
        </is>
      </c>
      <c r="D11" s="8" t="n">
        <v>62000</v>
      </c>
      <c r="E11" s="6">
        <f>COUNTIF('Từng bài'!$P$2:$P$85,A11)</f>
        <v/>
      </c>
      <c r="F11" s="6" t="inlineStr">
        <is>
          <t>T6 30/10 08:38 · góc 1; T3 03/11 07:52 · góc 7</t>
        </is>
      </c>
      <c r="G11" s="6" t="n">
        <v>0</v>
      </c>
      <c r="H11" s="6" t="n">
        <v>0</v>
      </c>
      <c r="I11" s="9">
        <f>IF(G11=0,"-",H11/G11)</f>
        <v/>
      </c>
      <c r="J11" s="6" t="inlineStr"/>
      <c r="K11" s="6" t="inlineStr">
        <is>
          <t>Nhóm mới, chưa đăng lần nào: theo dõi bài đầu</t>
        </is>
      </c>
    </row>
    <row r="12">
      <c r="A12" s="6" t="n">
        <v>738</v>
      </c>
      <c r="B12" s="6" t="inlineStr">
        <is>
          <t>Cộng đồng người Yên Thế - Bắc Giang</t>
        </is>
      </c>
      <c r="C12" s="6" t="inlineStr">
        <is>
          <t>Cộng đồng / hội</t>
        </is>
      </c>
      <c r="D12" s="8" t="n">
        <v>9900</v>
      </c>
      <c r="E12" s="6">
        <f>COUNTIF('Từng bài'!$P$2:$P$85,A12)</f>
        <v/>
      </c>
      <c r="F12" s="6" t="inlineStr">
        <is>
          <t>T5 29/10 12:21 · góc 7; CN 01/11 16:17 · góc 3</t>
        </is>
      </c>
      <c r="G12" s="6" t="n">
        <v>0</v>
      </c>
      <c r="H12" s="6" t="n">
        <v>0</v>
      </c>
      <c r="I12" s="9">
        <f>IF(G12=0,"-",H12/G12)</f>
        <v/>
      </c>
      <c r="J12" s="6" t="inlineStr"/>
      <c r="K12" s="6" t="inlineStr">
        <is>
          <t>Nhóm mới, chưa đăng lần nào: theo dõi bài đầu</t>
        </is>
      </c>
    </row>
    <row r="13">
      <c r="A13" s="6" t="n">
        <v>558</v>
      </c>
      <c r="B13" s="6" t="inlineStr">
        <is>
          <t>FUYU HỒNG HẢI - KCN QUANG CHÂU - BẮC GIANG</t>
        </is>
      </c>
      <c r="C13" s="6" t="inlineStr">
        <is>
          <t>KCN / nhà trọ</t>
        </is>
      </c>
      <c r="D13" s="8" t="n">
        <v>35000</v>
      </c>
      <c r="E13" s="6">
        <f>COUNTIF('Từng bài'!$P$2:$P$85,A13)</f>
        <v/>
      </c>
      <c r="F13" s="6" t="inlineStr">
        <is>
          <t>T5 29/10 21:47 · góc 5; T2 02/11 06:56 · góc 8</t>
        </is>
      </c>
      <c r="G13" s="6" t="n">
        <v>0</v>
      </c>
      <c r="H13" s="6" t="n">
        <v>0</v>
      </c>
      <c r="I13" s="9">
        <f>IF(G13=0,"-",H13/G13)</f>
        <v/>
      </c>
      <c r="J13" s="6" t="inlineStr"/>
      <c r="K13" s="6" t="inlineStr">
        <is>
          <t>Nhóm mới, chưa đăng lần nào: theo dõi bài đầu</t>
        </is>
      </c>
    </row>
    <row r="14">
      <c r="A14" s="6" t="n">
        <v>128</v>
      </c>
      <c r="B14" s="6" t="inlineStr">
        <is>
          <t>Hội Diều Sáo Tân Yên</t>
        </is>
      </c>
      <c r="C14" s="6" t="inlineStr">
        <is>
          <t>Cộng đồng / hội</t>
        </is>
      </c>
      <c r="D14" s="8" t="n">
        <v>52000</v>
      </c>
      <c r="E14" s="6">
        <f>COUNTIF('Từng bài'!$P$2:$P$85,A14)</f>
        <v/>
      </c>
      <c r="F14" s="6" t="inlineStr">
        <is>
          <t>T7 31/10 17:45 · góc 8; T3 03/11 21:46 · góc 5</t>
        </is>
      </c>
      <c r="G14" s="6" t="n">
        <v>1</v>
      </c>
      <c r="H14" s="6" t="n">
        <v>1</v>
      </c>
      <c r="I14" s="9">
        <f>IF(G14=0,"-",H14/G14)</f>
        <v/>
      </c>
      <c r="J14" s="6" t="inlineStr">
        <is>
          <t>2026-10-27</t>
        </is>
      </c>
      <c r="K14" s="6" t="inlineStr">
        <is>
          <t>Tốt: phần lớn bài hiện ngay</t>
        </is>
      </c>
    </row>
    <row r="15">
      <c r="A15" s="6" t="n">
        <v>794</v>
      </c>
      <c r="B15" s="6" t="inlineStr">
        <is>
          <t>Hội chăn nuôi gà Gà Đồi Yên Thế</t>
        </is>
      </c>
      <c r="C15" s="6" t="inlineStr">
        <is>
          <t>Cộng đồng / hội</t>
        </is>
      </c>
      <c r="D15" s="8" t="n">
        <v>12000</v>
      </c>
      <c r="E15" s="6">
        <f>COUNTIF('Từng bài'!$P$2:$P$85,A15)</f>
        <v/>
      </c>
      <c r="F15" s="6" t="inlineStr">
        <is>
          <t>T6 30/10 16:07 · góc 9; T2 02/11 21:28 · góc 5</t>
        </is>
      </c>
      <c r="G15" s="6" t="n">
        <v>0</v>
      </c>
      <c r="H15" s="6" t="n">
        <v>0</v>
      </c>
      <c r="I15" s="9">
        <f>IF(G15=0,"-",H15/G15)</f>
        <v/>
      </c>
      <c r="J15" s="6" t="inlineStr"/>
      <c r="K15" s="6" t="inlineStr">
        <is>
          <t>Nhóm mới, chưa đăng lần nào: theo dõi bài đầu</t>
        </is>
      </c>
    </row>
    <row r="16">
      <c r="A16" s="6" t="n">
        <v>545</v>
      </c>
      <c r="B16" s="6" t="inlineStr">
        <is>
          <t>KCN QUANG CHÂU - VIỆT YÊN - BẮC GIANG</t>
        </is>
      </c>
      <c r="C16" s="6" t="inlineStr">
        <is>
          <t>KCN / nhà trọ</t>
        </is>
      </c>
      <c r="D16" s="8" t="n">
        <v>62000</v>
      </c>
      <c r="E16" s="6">
        <f>COUNTIF('Từng bài'!$P$2:$P$85,A16)</f>
        <v/>
      </c>
      <c r="F16" s="6" t="inlineStr">
        <is>
          <t>T5 29/10 10:35 · góc 6; CN 01/11 12:33 · góc 4</t>
        </is>
      </c>
      <c r="G16" s="6" t="n">
        <v>0</v>
      </c>
      <c r="H16" s="6" t="n">
        <v>0</v>
      </c>
      <c r="I16" s="9">
        <f>IF(G16=0,"-",H16/G16)</f>
        <v/>
      </c>
      <c r="J16" s="6" t="inlineStr"/>
      <c r="K16" s="6" t="inlineStr">
        <is>
          <t>Nhóm mới, chưa đăng lần nào: theo dõi bài đầu</t>
        </is>
      </c>
    </row>
    <row r="17">
      <c r="A17" s="6" t="n">
        <v>540</v>
      </c>
      <c r="B17" s="6" t="inlineStr">
        <is>
          <t>KCN Đình Trám, Hoà Phú, Vân Trung, Quang Châu, Song Khê Bắc Giang</t>
        </is>
      </c>
      <c r="C17" s="6" t="inlineStr">
        <is>
          <t>KCN / nhà trọ</t>
        </is>
      </c>
      <c r="D17" s="8" t="n">
        <v>101000</v>
      </c>
      <c r="E17" s="6">
        <f>COUNTIF('Từng bài'!$P$2:$P$85,A17)</f>
        <v/>
      </c>
      <c r="F17" s="6" t="inlineStr">
        <is>
          <t>T6 30/10 21:56 · góc 5; T3 03/11 12:42 · góc 10</t>
        </is>
      </c>
      <c r="G17" s="6" t="n">
        <v>2</v>
      </c>
      <c r="H17" s="6" t="n">
        <v>2</v>
      </c>
      <c r="I17" s="9">
        <f>IF(G17=0,"-",H17/G17)</f>
        <v/>
      </c>
      <c r="J17" s="6" t="inlineStr">
        <is>
          <t>2026-10-24</t>
        </is>
      </c>
      <c r="K17" s="6" t="inlineStr">
        <is>
          <t>Tốt: phần lớn bài hiện ngay</t>
        </is>
      </c>
    </row>
    <row r="18">
      <c r="A18" s="6" t="n">
        <v>543</v>
      </c>
      <c r="B18" s="6" t="inlineStr">
        <is>
          <t>NHÀ TRỌ KCN ĐÌNH TRÁM, VÂN TRUNG, QUANG CHÂU</t>
        </is>
      </c>
      <c r="C18" s="6" t="inlineStr">
        <is>
          <t>KCN / nhà trọ</t>
        </is>
      </c>
      <c r="D18" s="8" t="n">
        <v>66000</v>
      </c>
      <c r="E18" s="6">
        <f>COUNTIF('Từng bài'!$P$2:$P$85,A18)</f>
        <v/>
      </c>
      <c r="F18" s="6" t="inlineStr">
        <is>
          <t>T5 29/10 13:58 · góc 8; T2 02/11 13:16 · góc 4</t>
        </is>
      </c>
      <c r="G18" s="6" t="n">
        <v>0</v>
      </c>
      <c r="H18" s="6" t="n">
        <v>0</v>
      </c>
      <c r="I18" s="9">
        <f>IF(G18=0,"-",H18/G18)</f>
        <v/>
      </c>
      <c r="J18" s="6" t="inlineStr"/>
      <c r="K18" s="6" t="inlineStr">
        <is>
          <t>Nhóm mới, chưa đăng lần nào: theo dõi bài đầu</t>
        </is>
      </c>
    </row>
    <row r="19">
      <c r="A19" s="6" t="n">
        <v>784</v>
      </c>
      <c r="B19" s="6" t="inlineStr">
        <is>
          <t>Người Tân Yên</t>
        </is>
      </c>
      <c r="C19" s="6" t="inlineStr">
        <is>
          <t>Cộng đồng / hội</t>
        </is>
      </c>
      <c r="D19" s="8" t="n">
        <v>18000</v>
      </c>
      <c r="E19" s="6">
        <f>COUNTIF('Từng bài'!$P$2:$P$85,A19)</f>
        <v/>
      </c>
      <c r="F19" s="6" t="inlineStr">
        <is>
          <t>T6 30/10 12:10 · góc 6; T2 02/11 17:54 · góc 3</t>
        </is>
      </c>
      <c r="G19" s="6" t="n">
        <v>0</v>
      </c>
      <c r="H19" s="6" t="n">
        <v>0</v>
      </c>
      <c r="I19" s="9">
        <f>IF(G19=0,"-",H19/G19)</f>
        <v/>
      </c>
      <c r="J19" s="6" t="inlineStr"/>
      <c r="K19" s="6" t="inlineStr">
        <is>
          <t>Nhóm mới, chưa đăng lần nào: theo dõi bài đầu</t>
        </is>
      </c>
    </row>
    <row r="20">
      <c r="A20" s="6" t="n">
        <v>539</v>
      </c>
      <c r="B20" s="6" t="inlineStr">
        <is>
          <t>Nhà Trọ KCN Đình Trám, Quang Châu, Vân Trung, Song Khê</t>
        </is>
      </c>
      <c r="C20" s="6" t="inlineStr">
        <is>
          <t>KCN / nhà trọ</t>
        </is>
      </c>
      <c r="D20" s="8" t="n">
        <v>121000</v>
      </c>
      <c r="E20" s="6">
        <f>COUNTIF('Từng bài'!$P$2:$P$85,A20)</f>
        <v/>
      </c>
      <c r="F20" s="6" t="inlineStr">
        <is>
          <t>T5 29/10 08:26 · góc 2; T2 02/11 09:26 · góc 10</t>
        </is>
      </c>
      <c r="G20" s="6" t="n">
        <v>0</v>
      </c>
      <c r="H20" s="6" t="n">
        <v>0</v>
      </c>
      <c r="I20" s="9">
        <f>IF(G20=0,"-",H20/G20)</f>
        <v/>
      </c>
      <c r="J20" s="6" t="inlineStr"/>
      <c r="K20" s="6" t="inlineStr">
        <is>
          <t>Nhóm mới, chưa đăng lần nào: theo dõi bài đầu</t>
        </is>
      </c>
    </row>
    <row r="21">
      <c r="A21" s="6" t="n">
        <v>544</v>
      </c>
      <c r="B21" s="6" t="inlineStr">
        <is>
          <t>Nhà trọ quang châu</t>
        </is>
      </c>
      <c r="C21" s="6" t="inlineStr">
        <is>
          <t>KCN / nhà trọ</t>
        </is>
      </c>
      <c r="D21" s="8" t="n">
        <v>63000</v>
      </c>
      <c r="E21" s="6">
        <f>COUNTIF('Từng bài'!$P$2:$P$85,A21)</f>
        <v/>
      </c>
      <c r="F21" s="6" t="inlineStr">
        <is>
          <t>T5 29/10 18:39 · góc 12; T2 02/11 19:10 · góc 5</t>
        </is>
      </c>
      <c r="G21" s="6" t="n">
        <v>0</v>
      </c>
      <c r="H21" s="6" t="n">
        <v>0</v>
      </c>
      <c r="I21" s="9">
        <f>IF(G21=0,"-",H21/G21)</f>
        <v/>
      </c>
      <c r="J21" s="6" t="inlineStr"/>
      <c r="K21" s="6" t="inlineStr">
        <is>
          <t>Nhóm mới, chưa đăng lần nào: theo dõi bài đầu</t>
        </is>
      </c>
    </row>
    <row r="22">
      <c r="A22" s="6" t="n">
        <v>49</v>
      </c>
      <c r="B22" s="6" t="inlineStr">
        <is>
          <t>Nhà Đất xã Yên Thế, Đồng Kỳ, Xuân Lương, Tam Tiến, Bố Hạ tỉnh Bắc Ninh</t>
        </is>
      </c>
      <c r="C22" s="6" t="inlineStr">
        <is>
          <t>Nhà đất / BĐS</t>
        </is>
      </c>
      <c r="D22" s="8" t="n">
        <v>1200</v>
      </c>
      <c r="E22" s="6">
        <f>COUNTIF('Từng bài'!$P$2:$P$85,A22)</f>
        <v/>
      </c>
      <c r="F22" s="6" t="inlineStr">
        <is>
          <t>T4 28/10 18:39 · góc 12; CN 01/11 10:01 · góc 11</t>
        </is>
      </c>
      <c r="G22" s="6" t="n">
        <v>4</v>
      </c>
      <c r="H22" s="6" t="n">
        <v>4</v>
      </c>
      <c r="I22" s="9">
        <f>IF(G22=0,"-",H22/G22)</f>
        <v/>
      </c>
      <c r="J22" s="6" t="inlineStr">
        <is>
          <t>2026-10-22</t>
        </is>
      </c>
      <c r="K22" s="6" t="inlineStr">
        <is>
          <t>Tốt: phần lớn bài hiện ngay</t>
        </is>
      </c>
    </row>
    <row r="23">
      <c r="A23" s="6" t="n">
        <v>547</v>
      </c>
      <c r="B23" s="6" t="inlineStr">
        <is>
          <t>Rao Vặt + Ăn Vặt Chợ Phước Yên - KCN Hòa Phú Có Ship</t>
        </is>
      </c>
      <c r="C23" s="6" t="inlineStr">
        <is>
          <t>KCN / nhà trọ</t>
        </is>
      </c>
      <c r="D23" s="8" t="n">
        <v>59000</v>
      </c>
      <c r="E23" s="6">
        <f>COUNTIF('Từng bài'!$P$2:$P$85,A23)</f>
        <v/>
      </c>
      <c r="F23" s="6" t="inlineStr">
        <is>
          <t>T6 30/10 13:59 · góc 7; T3 03/11 14:53 · góc 12</t>
        </is>
      </c>
      <c r="G23" s="6" t="n">
        <v>0</v>
      </c>
      <c r="H23" s="6" t="n">
        <v>0</v>
      </c>
      <c r="I23" s="9">
        <f>IF(G23=0,"-",H23/G23)</f>
        <v/>
      </c>
      <c r="J23" s="6" t="inlineStr"/>
      <c r="K23" s="6" t="inlineStr">
        <is>
          <t>Nhóm mới, chưa đăng lần nào: theo dõi bài đầu</t>
        </is>
      </c>
    </row>
    <row r="24">
      <c r="A24" s="6" t="n">
        <v>255</v>
      </c>
      <c r="B24" s="6" t="inlineStr">
        <is>
          <t>Sơn Toa Yên Thế</t>
        </is>
      </c>
      <c r="C24" s="6" t="inlineStr">
        <is>
          <t>Cộng đồng / hội</t>
        </is>
      </c>
      <c r="D24" s="8" t="n">
        <v>16000</v>
      </c>
      <c r="E24" s="6">
        <f>COUNTIF('Từng bài'!$P$2:$P$85,A24)</f>
        <v/>
      </c>
      <c r="F24" s="6" t="inlineStr">
        <is>
          <t>T7 31/10 07:25 · góc 11; T3 03/11 10:42 · góc 9</t>
        </is>
      </c>
      <c r="G24" s="6" t="n">
        <v>1</v>
      </c>
      <c r="H24" s="6" t="n">
        <v>1</v>
      </c>
      <c r="I24" s="9">
        <f>IF(G24=0,"-",H24/G24)</f>
        <v/>
      </c>
      <c r="J24" s="6" t="inlineStr">
        <is>
          <t>2026-10-27</t>
        </is>
      </c>
      <c r="K24" s="6" t="inlineStr">
        <is>
          <t>Tốt: phần lớn bài hiện ngay</t>
        </is>
      </c>
    </row>
    <row r="25">
      <c r="A25" s="6" t="n">
        <v>783</v>
      </c>
      <c r="B25" s="6" t="inlineStr">
        <is>
          <t>Tân Yên - Bắc Giang</t>
        </is>
      </c>
      <c r="C25" s="6" t="inlineStr">
        <is>
          <t>Cộng đồng / hội</t>
        </is>
      </c>
      <c r="D25" s="8" t="n">
        <v>20000</v>
      </c>
      <c r="E25" s="6">
        <f>COUNTIF('Từng bài'!$P$2:$P$85,A25)</f>
        <v/>
      </c>
      <c r="F25" s="6" t="inlineStr">
        <is>
          <t>T6 30/10 07:00 · góc 4; T2 02/11 10:58 · góc 11</t>
        </is>
      </c>
      <c r="G25" s="6" t="n">
        <v>0</v>
      </c>
      <c r="H25" s="6" t="n">
        <v>0</v>
      </c>
      <c r="I25" s="9">
        <f>IF(G25=0,"-",H25/G25)</f>
        <v/>
      </c>
      <c r="J25" s="6" t="inlineStr"/>
      <c r="K25" s="6" t="inlineStr">
        <is>
          <t>Nhóm mới, chưa đăng lần nào: theo dõi bài đầu</t>
        </is>
      </c>
    </row>
    <row r="26">
      <c r="A26" s="6" t="n">
        <v>100</v>
      </c>
      <c r="B26" s="6" t="inlineStr">
        <is>
          <t>XÃ XUÂN LƯƠNG - TỈNH BẮC NINH (Xuân Lương -Canh Nậu- Đồng Tiến )</t>
        </is>
      </c>
      <c r="C26" s="6" t="inlineStr">
        <is>
          <t>Cộng đồng / hội</t>
        </is>
      </c>
      <c r="D26" s="8" t="n">
        <v>11000</v>
      </c>
      <c r="E26" s="6">
        <f>COUNTIF('Từng bài'!$P$2:$P$85,A26)</f>
        <v/>
      </c>
      <c r="F26" s="6" t="inlineStr">
        <is>
          <t>T5 29/10 07:20 · góc 1; CN 01/11 11:09 · góc 12</t>
        </is>
      </c>
      <c r="G26" s="6" t="n">
        <v>0</v>
      </c>
      <c r="H26" s="6" t="n">
        <v>0</v>
      </c>
      <c r="I26" s="9">
        <f>IF(G26=0,"-",H26/G26)</f>
        <v/>
      </c>
      <c r="J26" s="6" t="inlineStr"/>
      <c r="K26" s="6" t="inlineStr">
        <is>
          <t>Nhóm mới, chưa đăng lần nào: theo dõi bài đầu</t>
        </is>
      </c>
    </row>
    <row r="27">
      <c r="A27" s="6" t="n">
        <v>789</v>
      </c>
      <c r="B27" s="6" t="inlineStr">
        <is>
          <t>Xã Phúc Hoà - Tỉnh Bắc Ninh ( Hợp Đức- Tân Yên-Bắc Giang)</t>
        </is>
      </c>
      <c r="C27" s="6" t="inlineStr">
        <is>
          <t>Cộng đồng / hội</t>
        </is>
      </c>
      <c r="D27" s="8" t="n">
        <v>6700</v>
      </c>
      <c r="E27" s="6">
        <f>COUNTIF('Từng bài'!$P$2:$P$85,A27)</f>
        <v/>
      </c>
      <c r="F27" s="6" t="inlineStr">
        <is>
          <t>T6 30/10 17:41 · góc 10; T3 03/11 06:36 · góc 6</t>
        </is>
      </c>
      <c r="G27" s="6" t="n">
        <v>0</v>
      </c>
      <c r="H27" s="6" t="n">
        <v>0</v>
      </c>
      <c r="I27" s="9">
        <f>IF(G27=0,"-",H27/G27)</f>
        <v/>
      </c>
      <c r="J27" s="6" t="inlineStr"/>
      <c r="K27" s="6" t="inlineStr">
        <is>
          <t>Nhóm mới, chưa đăng lần nào: theo dõi bài đầu</t>
        </is>
      </c>
    </row>
    <row r="28">
      <c r="A28" s="6" t="n">
        <v>20</v>
      </c>
      <c r="B28" s="6" t="inlineStr">
        <is>
          <t>Xã Đồng Kỳ - Bắc Ninh ( Mới ): Thông Tin - Trao Đổi, Mua Bán</t>
        </is>
      </c>
      <c r="C28" s="6" t="inlineStr">
        <is>
          <t>Cộng đồng / hội</t>
        </is>
      </c>
      <c r="D28" s="8" t="n">
        <v>0</v>
      </c>
      <c r="E28" s="6">
        <f>COUNTIF('Từng bài'!$P$2:$P$85,A28)</f>
        <v/>
      </c>
      <c r="F28" s="6" t="inlineStr">
        <is>
          <t>T4 28/10 20:32 · góc 5; CN 01/11 18:35 · góc 7</t>
        </is>
      </c>
      <c r="G28" s="6" t="n">
        <v>4</v>
      </c>
      <c r="H28" s="6" t="n">
        <v>4</v>
      </c>
      <c r="I28" s="9">
        <f>IF(G28=0,"-",H28/G28)</f>
        <v/>
      </c>
      <c r="J28" s="6" t="inlineStr">
        <is>
          <t>2026-10-22</t>
        </is>
      </c>
      <c r="K28" s="6" t="inlineStr">
        <is>
          <t>Tốt: phần lớn bài hiện ngay</t>
        </is>
      </c>
    </row>
    <row r="29">
      <c r="A29" s="6" t="n">
        <v>785</v>
      </c>
      <c r="B29" s="6" t="inlineStr">
        <is>
          <t>Yên Thế - Bắc Giang</t>
        </is>
      </c>
      <c r="C29" s="6" t="inlineStr">
        <is>
          <t>Cộng đồng / hội</t>
        </is>
      </c>
      <c r="D29" s="8" t="n">
        <v>7900</v>
      </c>
      <c r="E29" s="6">
        <f>COUNTIF('Từng bài'!$P$2:$P$85,A29)</f>
        <v/>
      </c>
      <c r="F29" s="6" t="inlineStr">
        <is>
          <t>T6 30/10 10:53 · góc 3; T2 02/11 12:34 · góc 12</t>
        </is>
      </c>
      <c r="G29" s="6" t="n">
        <v>0</v>
      </c>
      <c r="H29" s="6" t="n">
        <v>0</v>
      </c>
      <c r="I29" s="9">
        <f>IF(G29=0,"-",H29/G29)</f>
        <v/>
      </c>
      <c r="J29" s="6" t="inlineStr"/>
      <c r="K29" s="6" t="inlineStr">
        <is>
          <t>Nhóm mới, chưa đăng lần nào: theo dõi bài đầu</t>
        </is>
      </c>
    </row>
    <row r="30">
      <c r="A30" s="6" t="n">
        <v>48</v>
      </c>
      <c r="B30" s="6" t="inlineStr">
        <is>
          <t>Yên Thế Bắc Giang</t>
        </is>
      </c>
      <c r="C30" s="6" t="inlineStr">
        <is>
          <t>Cộng đồng / hội</t>
        </is>
      </c>
      <c r="D30" s="8" t="n">
        <v>7300</v>
      </c>
      <c r="E30" s="6">
        <f>COUNTIF('Từng bài'!$P$2:$P$85,A30)</f>
        <v/>
      </c>
      <c r="F30" s="6" t="inlineStr">
        <is>
          <t>T5 29/10 17:10 · góc 11; CN 01/11 22:01 · góc 5</t>
        </is>
      </c>
      <c r="G30" s="6" t="n">
        <v>3</v>
      </c>
      <c r="H30" s="6" t="n">
        <v>3</v>
      </c>
      <c r="I30" s="9">
        <f>IF(G30=0,"-",H30/G30)</f>
        <v/>
      </c>
      <c r="J30" s="6" t="inlineStr">
        <is>
          <t>2026-10-24</t>
        </is>
      </c>
      <c r="K30" s="6" t="inlineStr">
        <is>
          <t>Tốt: phần lớn bài hiện ngay</t>
        </is>
      </c>
    </row>
    <row r="31">
      <c r="A31" s="6" t="n">
        <v>46</v>
      </c>
      <c r="B31" s="6" t="inlineStr">
        <is>
          <t>Yên Thế Online</t>
        </is>
      </c>
      <c r="C31" s="6" t="inlineStr">
        <is>
          <t>Cộng đồng / hội</t>
        </is>
      </c>
      <c r="D31" s="8" t="n">
        <v>13000</v>
      </c>
      <c r="E31" s="6">
        <f>COUNTIF('Từng bài'!$P$2:$P$85,A31)</f>
        <v/>
      </c>
      <c r="F31" s="6" t="inlineStr">
        <is>
          <t>T4 28/10 21:47 · góc 5; CN 01/11 06:46 · góc 9</t>
        </is>
      </c>
      <c r="G31" s="6" t="n">
        <v>4</v>
      </c>
      <c r="H31" s="6" t="n">
        <v>4</v>
      </c>
      <c r="I31" s="9">
        <f>IF(G31=0,"-",H31/G31)</f>
        <v/>
      </c>
      <c r="J31" s="6" t="inlineStr">
        <is>
          <t>2026-10-25</t>
        </is>
      </c>
      <c r="K31" s="6" t="inlineStr">
        <is>
          <t>Tốt: phần lớn bài hiện ngay</t>
        </is>
      </c>
    </row>
    <row r="32">
      <c r="A32" s="6" t="n">
        <v>763</v>
      </c>
      <c r="B32" s="6" t="inlineStr">
        <is>
          <t>BẤT ĐỘNG SẢN BẮC GIANG</t>
        </is>
      </c>
      <c r="C32" s="6" t="inlineStr">
        <is>
          <t>Nhà đất / BĐS</t>
        </is>
      </c>
      <c r="D32" s="8" t="n">
        <v>235000</v>
      </c>
      <c r="E32" s="6">
        <f>COUNTIF('Từng bài'!$P$2:$P$85,A32)</f>
        <v/>
      </c>
      <c r="F32" s="6" t="inlineStr">
        <is>
          <t>T5 29/10 10:15 · góc 0</t>
        </is>
      </c>
      <c r="G32" s="6" t="n">
        <v>0</v>
      </c>
      <c r="H32" s="6" t="n">
        <v>0</v>
      </c>
      <c r="I32" s="9">
        <f>IF(G32=0,"-",H32/G32)</f>
        <v/>
      </c>
      <c r="J32" s="6" t="inlineStr"/>
      <c r="K32" s="6" t="inlineStr">
        <is>
          <t>Nhóm mới, chưa đăng lần nào: theo dõi bài đầu</t>
        </is>
      </c>
    </row>
    <row r="33">
      <c r="A33" s="6" t="n">
        <v>130</v>
      </c>
      <c r="B33" s="6" t="inlineStr">
        <is>
          <t>Bất Động Sản Tân Yên Bắc Giang</t>
        </is>
      </c>
      <c r="C33" s="6" t="inlineStr">
        <is>
          <t>Nhà đất / BĐS</t>
        </is>
      </c>
      <c r="D33" s="8" t="n">
        <v>47000</v>
      </c>
      <c r="E33" s="6">
        <f>COUNTIF('Từng bài'!$P$2:$P$85,A33)</f>
        <v/>
      </c>
      <c r="F33" s="6" t="inlineStr">
        <is>
          <t>T3 03/11 18:42 · góc 2</t>
        </is>
      </c>
      <c r="G33" s="6" t="n">
        <v>5</v>
      </c>
      <c r="H33" s="6" t="n">
        <v>5</v>
      </c>
      <c r="I33" s="9">
        <f>IF(G33=0,"-",H33/G33)</f>
        <v/>
      </c>
      <c r="J33" s="6" t="inlineStr">
        <is>
          <t>2026-10-26</t>
        </is>
      </c>
      <c r="K33" s="6" t="inlineStr">
        <is>
          <t>Tốt: phần lớn bài hiện ngay</t>
        </is>
      </c>
    </row>
    <row r="34">
      <c r="A34" s="6" t="n">
        <v>552</v>
      </c>
      <c r="B34" s="6" t="inlineStr">
        <is>
          <t>CHỢ TRUNG ĐỒNG, Vân Cốc 1,2,3,4 Vân Trung Quang Châu</t>
        </is>
      </c>
      <c r="C34" s="6" t="inlineStr">
        <is>
          <t>Chợ địa phương</t>
        </is>
      </c>
      <c r="D34" s="8" t="n">
        <v>45000</v>
      </c>
      <c r="E34" s="6">
        <f>COUNTIF('Từng bài'!$P$2:$P$85,A34)</f>
        <v/>
      </c>
      <c r="F34" s="6" t="inlineStr">
        <is>
          <t>T7 31/10 19:14 · góc 5</t>
        </is>
      </c>
      <c r="G34" s="6" t="n">
        <v>0</v>
      </c>
      <c r="H34" s="6" t="n">
        <v>0</v>
      </c>
      <c r="I34" s="9">
        <f>IF(G34=0,"-",H34/G34)</f>
        <v/>
      </c>
      <c r="J34" s="6" t="inlineStr"/>
      <c r="K34" s="6" t="inlineStr">
        <is>
          <t>Nhóm mới, chưa đăng lần nào: theo dõi bài đầu</t>
        </is>
      </c>
    </row>
    <row r="35">
      <c r="A35" s="6" t="n">
        <v>551</v>
      </c>
      <c r="B35" s="6" t="inlineStr">
        <is>
          <t>CHỢ VÂN CỐC 1,2,3,4 VÂN TRUNG _ TRUNG ĐỒNG _ BÀI XANH</t>
        </is>
      </c>
      <c r="C35" s="6" t="inlineStr">
        <is>
          <t>Chợ địa phương</t>
        </is>
      </c>
      <c r="D35" s="8" t="n">
        <v>52000</v>
      </c>
      <c r="E35" s="6">
        <f>COUNTIF('Từng bài'!$P$2:$P$85,A35)</f>
        <v/>
      </c>
      <c r="F35" s="6" t="inlineStr">
        <is>
          <t>T7 31/10 13:16 · góc 3</t>
        </is>
      </c>
      <c r="G35" s="6" t="n">
        <v>0</v>
      </c>
      <c r="H35" s="6" t="n">
        <v>0</v>
      </c>
      <c r="I35" s="9">
        <f>IF(G35=0,"-",H35/G35)</f>
        <v/>
      </c>
      <c r="J35" s="6" t="inlineStr"/>
      <c r="K35" s="6" t="inlineStr">
        <is>
          <t>Nhóm mới, chưa đăng lần nào: theo dõi bài đầu</t>
        </is>
      </c>
    </row>
    <row r="36">
      <c r="A36" s="6" t="n">
        <v>311</v>
      </c>
      <c r="B36" s="6" t="inlineStr">
        <is>
          <t>Chợ Chùa Hang Linh Sơn Đồng Hỷ Thái Nguyên</t>
        </is>
      </c>
      <c r="C36" s="6" t="inlineStr">
        <is>
          <t>Chợ địa phương</t>
        </is>
      </c>
      <c r="D36" s="8" t="n">
        <v>59000</v>
      </c>
      <c r="E36" s="6">
        <f>COUNTIF('Từng bài'!$P$2:$P$85,A36)</f>
        <v/>
      </c>
      <c r="F36" s="6" t="inlineStr">
        <is>
          <t>T4 28/10 08:26 · góc 2</t>
        </is>
      </c>
      <c r="G36" s="6" t="n">
        <v>0</v>
      </c>
      <c r="H36" s="6" t="n">
        <v>0</v>
      </c>
      <c r="I36" s="9">
        <f>IF(G36=0,"-",H36/G36)</f>
        <v/>
      </c>
      <c r="J36" s="6" t="inlineStr"/>
      <c r="K36" s="6" t="inlineStr">
        <is>
          <t>Nhóm mới, chưa đăng lần nào: theo dõi bài đầu</t>
        </is>
      </c>
    </row>
    <row r="37">
      <c r="A37" s="6" t="n">
        <v>114</v>
      </c>
      <c r="B37" s="6" t="inlineStr">
        <is>
          <t>Chợ Mọc Cao Thượng - Tân Yên - Bắc Giang</t>
        </is>
      </c>
      <c r="C37" s="6" t="inlineStr">
        <is>
          <t>Chợ địa phương</t>
        </is>
      </c>
      <c r="D37" s="8" t="n">
        <v>44000</v>
      </c>
      <c r="E37" s="6">
        <f>COUNTIF('Từng bài'!$P$2:$P$85,A37)</f>
        <v/>
      </c>
      <c r="F37" s="6" t="inlineStr">
        <is>
          <t>CN 01/11 13:15 · góc 1</t>
        </is>
      </c>
      <c r="G37" s="6" t="n">
        <v>3</v>
      </c>
      <c r="H37" s="6" t="n">
        <v>1</v>
      </c>
      <c r="I37" s="9">
        <f>IF(G37=0,"-",H37/G37)</f>
        <v/>
      </c>
      <c r="J37" s="6" t="inlineStr">
        <is>
          <t>2026-10-24</t>
        </is>
      </c>
      <c r="K37" s="6" t="inlineStr">
        <is>
          <t>Một phần bài phải chờ duyệt</t>
        </is>
      </c>
    </row>
    <row r="38">
      <c r="A38" s="6" t="n">
        <v>308</v>
      </c>
      <c r="B38" s="6" t="inlineStr">
        <is>
          <t>Chợ Nhà Đất Lạng Sơn - Nơi mua bán, thuê và cho thuê bất động sản Lạng Sơn</t>
        </is>
      </c>
      <c r="C38" s="6" t="inlineStr">
        <is>
          <t>Nhà đất / BĐS</t>
        </is>
      </c>
      <c r="D38" s="8" t="n">
        <v>170000</v>
      </c>
      <c r="E38" s="6">
        <f>COUNTIF('Từng bài'!$P$2:$P$85,A38)</f>
        <v/>
      </c>
      <c r="F38" s="6" t="inlineStr">
        <is>
          <t>T4 28/10 15:52 · góc 10</t>
        </is>
      </c>
      <c r="G38" s="6" t="n">
        <v>1</v>
      </c>
      <c r="H38" s="6" t="n">
        <v>1</v>
      </c>
      <c r="I38" s="9">
        <f>IF(G38=0,"-",H38/G38)</f>
        <v/>
      </c>
      <c r="J38" s="6" t="inlineStr">
        <is>
          <t>2026-10-23</t>
        </is>
      </c>
      <c r="K38" s="6" t="inlineStr">
        <is>
          <t>Tốt: phần lớn bài hiện ngay</t>
        </is>
      </c>
    </row>
    <row r="39">
      <c r="A39" s="6" t="n">
        <v>123</v>
      </c>
      <c r="B39" s="6" t="inlineStr">
        <is>
          <t>Chợ Tân Yên - Bắc Giang</t>
        </is>
      </c>
      <c r="C39" s="6" t="inlineStr">
        <is>
          <t>Chợ địa phương</t>
        </is>
      </c>
      <c r="D39" s="8" t="n">
        <v>30000</v>
      </c>
      <c r="E39" s="6">
        <f>COUNTIF('Từng bài'!$P$2:$P$85,A39)</f>
        <v/>
      </c>
      <c r="F39" s="6" t="inlineStr">
        <is>
          <t>T7 31/10 14:42 · góc 6</t>
        </is>
      </c>
      <c r="G39" s="6" t="n">
        <v>5</v>
      </c>
      <c r="H39" s="6" t="n">
        <v>5</v>
      </c>
      <c r="I39" s="9">
        <f>IF(G39=0,"-",H39/G39)</f>
        <v/>
      </c>
      <c r="J39" s="6" t="inlineStr">
        <is>
          <t>2026-10-26</t>
        </is>
      </c>
      <c r="K39" s="6" t="inlineStr">
        <is>
          <t>Tốt: phần lớn bài hiện ngay</t>
        </is>
      </c>
    </row>
    <row r="40">
      <c r="A40" s="6" t="n">
        <v>557</v>
      </c>
      <c r="B40" s="6" t="inlineStr">
        <is>
          <t>Chợ Vân Cốc 1,2,3,4. Kcn Vân Trung. My Điền. Nội Hoang Quang Châu</t>
        </is>
      </c>
      <c r="C40" s="6" t="inlineStr">
        <is>
          <t>KCN / nhà trọ</t>
        </is>
      </c>
      <c r="D40" s="8" t="n">
        <v>35000</v>
      </c>
      <c r="E40" s="6">
        <f>COUNTIF('Từng bài'!$P$2:$P$85,A40)</f>
        <v/>
      </c>
      <c r="F40" s="6" t="inlineStr">
        <is>
          <t>CN 01/11 20:13 · góc 5</t>
        </is>
      </c>
      <c r="G40" s="6" t="n">
        <v>0</v>
      </c>
      <c r="H40" s="6" t="n">
        <v>0</v>
      </c>
      <c r="I40" s="9">
        <f>IF(G40=0,"-",H40/G40)</f>
        <v/>
      </c>
      <c r="J40" s="6" t="inlineStr"/>
      <c r="K40" s="6" t="inlineStr">
        <is>
          <t>Nhóm mới, chưa đăng lần nào: theo dõi bài đầu</t>
        </is>
      </c>
    </row>
    <row r="41">
      <c r="A41" s="6" t="n">
        <v>550</v>
      </c>
      <c r="B41" s="6" t="inlineStr">
        <is>
          <t>Chợ Vân Cốc 1,2,3,4. Kcn Vân Trung. My Điền. Nội Hoàng Quang Châu</t>
        </is>
      </c>
      <c r="C41" s="6" t="inlineStr">
        <is>
          <t>KCN / nhà trọ</t>
        </is>
      </c>
      <c r="D41" s="8" t="n">
        <v>54000</v>
      </c>
      <c r="E41" s="6">
        <f>COUNTIF('Từng bài'!$P$2:$P$85,A41)</f>
        <v/>
      </c>
      <c r="F41" s="6" t="inlineStr">
        <is>
          <t>T7 31/10 08:16 · góc 12</t>
        </is>
      </c>
      <c r="G41" s="6" t="n">
        <v>0</v>
      </c>
      <c r="H41" s="6" t="n">
        <v>0</v>
      </c>
      <c r="I41" s="9">
        <f>IF(G41=0,"-",H41/G41)</f>
        <v/>
      </c>
      <c r="J41" s="6" t="inlineStr"/>
      <c r="K41" s="6" t="inlineStr">
        <is>
          <t>Nhóm mới, chưa đăng lần nào: theo dõi bài đầu</t>
        </is>
      </c>
    </row>
    <row r="42">
      <c r="A42" s="6" t="n">
        <v>554</v>
      </c>
      <c r="B42" s="6" t="inlineStr">
        <is>
          <t>CỘNG ĐỒNG KHU CÔNG NGHIỆP HÒA PHÚ</t>
        </is>
      </c>
      <c r="C42" s="6" t="inlineStr">
        <is>
          <t>KCN / nhà trọ</t>
        </is>
      </c>
      <c r="D42" s="8" t="n">
        <v>45000</v>
      </c>
      <c r="E42" s="6">
        <f>COUNTIF('Từng bài'!$P$2:$P$85,A42)</f>
        <v/>
      </c>
      <c r="F42" s="6" t="inlineStr">
        <is>
          <t>CN 01/11 17:31 · góc 6</t>
        </is>
      </c>
      <c r="G42" s="6" t="n">
        <v>0</v>
      </c>
      <c r="H42" s="6" t="n">
        <v>0</v>
      </c>
      <c r="I42" s="9">
        <f>IF(G42=0,"-",H42/G42)</f>
        <v/>
      </c>
      <c r="J42" s="6" t="inlineStr"/>
      <c r="K42" s="6" t="inlineStr">
        <is>
          <t>Nhóm mới, chưa đăng lần nào: theo dõi bài đầu</t>
        </is>
      </c>
    </row>
    <row r="43">
      <c r="A43" s="6" t="n">
        <v>19</v>
      </c>
      <c r="B43" s="6" t="inlineStr">
        <is>
          <t>Hội Người Yên Thế</t>
        </is>
      </c>
      <c r="C43" s="6" t="inlineStr">
        <is>
          <t>Cộng đồng / hội</t>
        </is>
      </c>
      <c r="D43" s="8" t="n">
        <v>7400</v>
      </c>
      <c r="E43" s="6">
        <f>COUNTIF('Từng bài'!$P$2:$P$85,A43)</f>
        <v/>
      </c>
      <c r="F43" s="6" t="inlineStr">
        <is>
          <t>T4 28/10 14:46 · góc 9</t>
        </is>
      </c>
      <c r="G43" s="6" t="n">
        <v>5</v>
      </c>
      <c r="H43" s="6" t="n">
        <v>5</v>
      </c>
      <c r="I43" s="9">
        <f>IF(G43=0,"-",H43/G43)</f>
        <v/>
      </c>
      <c r="J43" s="6" t="inlineStr">
        <is>
          <t>2026-10-25</t>
        </is>
      </c>
      <c r="K43" s="6" t="inlineStr">
        <is>
          <t>Tốt: phần lớn bài hiện ngay</t>
        </is>
      </c>
    </row>
    <row r="44">
      <c r="A44" s="6" t="n">
        <v>750</v>
      </c>
      <c r="B44" s="6" t="inlineStr">
        <is>
          <t>MUA BÁN VÀ CHO THUÊ NHÀ ĐẤT BẮC GIANG</t>
        </is>
      </c>
      <c r="C44" s="6" t="inlineStr">
        <is>
          <t>Nhà đất / BĐS</t>
        </is>
      </c>
      <c r="D44" s="8" t="n">
        <v>225000</v>
      </c>
      <c r="E44" s="6">
        <f>COUNTIF('Từng bài'!$P$2:$P$85,A44)</f>
        <v/>
      </c>
      <c r="F44" s="6" t="inlineStr">
        <is>
          <t>T5 29/10 15:40 · góc 0</t>
        </is>
      </c>
      <c r="G44" s="6" t="n">
        <v>0</v>
      </c>
      <c r="H44" s="6" t="n">
        <v>0</v>
      </c>
      <c r="I44" s="9">
        <f>IF(G44=0,"-",H44/G44)</f>
        <v/>
      </c>
      <c r="J44" s="6" t="inlineStr"/>
      <c r="K44" s="6" t="inlineStr">
        <is>
          <t>Nhóm mới, chưa đăng lần nào: theo dõi bài đầu</t>
        </is>
      </c>
    </row>
    <row r="45">
      <c r="A45" s="6" t="n">
        <v>35</v>
      </c>
      <c r="B45" s="6" t="inlineStr">
        <is>
          <t>Mua Bán Bất Động Sản Bắc Giang</t>
        </is>
      </c>
      <c r="C45" s="6" t="inlineStr">
        <is>
          <t>Nhà đất / BĐS</t>
        </is>
      </c>
      <c r="D45" s="8" t="n">
        <v>36000</v>
      </c>
      <c r="E45" s="6">
        <f>COUNTIF('Từng bài'!$P$2:$P$85,A45)</f>
        <v/>
      </c>
      <c r="F45" s="6" t="inlineStr">
        <is>
          <t>T4 28/10 10:35 · góc 6</t>
        </is>
      </c>
      <c r="G45" s="6" t="n">
        <v>2</v>
      </c>
      <c r="H45" s="6" t="n">
        <v>2</v>
      </c>
      <c r="I45" s="9">
        <f>IF(G45=0,"-",H45/G45)</f>
        <v/>
      </c>
      <c r="J45" s="6" t="inlineStr">
        <is>
          <t>2026-10-07</t>
        </is>
      </c>
      <c r="K45" s="6" t="inlineStr">
        <is>
          <t>Tốt: phần lớn bài hiện ngay</t>
        </is>
      </c>
    </row>
    <row r="46">
      <c r="A46" s="6" t="n">
        <v>40</v>
      </c>
      <c r="B46" s="6" t="inlineStr">
        <is>
          <t>Người Yên Thế</t>
        </is>
      </c>
      <c r="C46" s="6" t="inlineStr">
        <is>
          <t>Cộng đồng / hội</t>
        </is>
      </c>
      <c r="D46" s="8" t="n">
        <v>36000</v>
      </c>
      <c r="E46" s="6">
        <f>COUNTIF('Từng bài'!$P$2:$P$85,A46)</f>
        <v/>
      </c>
      <c r="F46" s="6" t="inlineStr">
        <is>
          <t>T7 31/10 21:56 · góc 5</t>
        </is>
      </c>
      <c r="G46" s="6" t="n">
        <v>5</v>
      </c>
      <c r="H46" s="6" t="n">
        <v>5</v>
      </c>
      <c r="I46" s="9">
        <f>IF(G46=0,"-",H46/G46)</f>
        <v/>
      </c>
      <c r="J46" s="6" t="inlineStr">
        <is>
          <t>2026-10-24</t>
        </is>
      </c>
      <c r="K46" s="6" t="inlineStr">
        <is>
          <t>Tốt: phần lớn bài hiện ngay</t>
        </is>
      </c>
    </row>
    <row r="47">
      <c r="A47" s="6" t="n">
        <v>310</v>
      </c>
      <c r="B47" s="6" t="inlineStr">
        <is>
          <t>Nhà Đất Lạng Sơn</t>
        </is>
      </c>
      <c r="C47" s="6" t="inlineStr">
        <is>
          <t>Nhà đất / BĐS</t>
        </is>
      </c>
      <c r="D47" s="8" t="n">
        <v>86000</v>
      </c>
      <c r="E47" s="6">
        <f>COUNTIF('Từng bài'!$P$2:$P$85,A47)</f>
        <v/>
      </c>
      <c r="F47" s="6" t="inlineStr">
        <is>
          <t>T4 28/10 07:20 · góc 1</t>
        </is>
      </c>
      <c r="G47" s="6" t="n">
        <v>0</v>
      </c>
      <c r="H47" s="6" t="n">
        <v>0</v>
      </c>
      <c r="I47" s="9">
        <f>IF(G47=0,"-",H47/G47)</f>
        <v/>
      </c>
      <c r="J47" s="6" t="inlineStr"/>
      <c r="K47" s="6" t="inlineStr">
        <is>
          <t>Nhóm mới, chưa đăng lần nào: theo dõi bài đầu</t>
        </is>
      </c>
    </row>
    <row r="48">
      <c r="A48" s="6" t="n">
        <v>312</v>
      </c>
      <c r="B48" s="6" t="inlineStr">
        <is>
          <t>Nhà đất Lạng Sơn - Mua bán, Cho thuê BĐS</t>
        </is>
      </c>
      <c r="C48" s="6" t="inlineStr">
        <is>
          <t>Nhà đất / BĐS</t>
        </is>
      </c>
      <c r="D48" s="8" t="n">
        <v>56000</v>
      </c>
      <c r="E48" s="6">
        <f>COUNTIF('Từng bài'!$P$2:$P$85,A48)</f>
        <v/>
      </c>
      <c r="F48" s="6" t="inlineStr">
        <is>
          <t>T4 28/10 19:35 · góc 7</t>
        </is>
      </c>
      <c r="G48" s="6" t="n">
        <v>0</v>
      </c>
      <c r="H48" s="6" t="n">
        <v>0</v>
      </c>
      <c r="I48" s="9">
        <f>IF(G48=0,"-",H48/G48)</f>
        <v/>
      </c>
      <c r="J48" s="6" t="inlineStr"/>
      <c r="K48" s="6" t="inlineStr">
        <is>
          <t>Nhóm mới, chưa đăng lần nào: theo dõi bài đầu</t>
        </is>
      </c>
    </row>
    <row r="49">
      <c r="A49" s="6" t="n">
        <v>556</v>
      </c>
      <c r="B49" s="6" t="inlineStr">
        <is>
          <t>Tìm phòng trọ TT Nếnh- KCN - Đình Trám - Vân Trung - Việt Hàn - Quang Châu</t>
        </is>
      </c>
      <c r="C49" s="6" t="inlineStr">
        <is>
          <t>KCN / nhà trọ</t>
        </is>
      </c>
      <c r="D49" s="8" t="n">
        <v>37000</v>
      </c>
      <c r="E49" s="6">
        <f>COUNTIF('Từng bài'!$P$2:$P$85,A49)</f>
        <v/>
      </c>
      <c r="F49" s="6" t="inlineStr">
        <is>
          <t>CN 01/11 15:24 · góc 2</t>
        </is>
      </c>
      <c r="G49" s="6" t="n">
        <v>0</v>
      </c>
      <c r="H49" s="6" t="n">
        <v>0</v>
      </c>
      <c r="I49" s="9">
        <f>IF(G49=0,"-",H49/G49)</f>
        <v/>
      </c>
      <c r="J49" s="6" t="inlineStr"/>
      <c r="K49" s="6" t="inlineStr">
        <is>
          <t>Nhóm mới, chưa đăng lần nào: theo dõi bài đầu</t>
        </is>
      </c>
    </row>
    <row r="50">
      <c r="A50" s="6" t="n">
        <v>58</v>
      </c>
      <c r="B50" s="6" t="inlineStr">
        <is>
          <t>XÃ YÊN THẾ MỚI</t>
        </is>
      </c>
      <c r="C50" s="6" t="inlineStr">
        <is>
          <t>Cộng đồng / hội</t>
        </is>
      </c>
      <c r="D50" s="8" t="n">
        <v>8900</v>
      </c>
      <c r="E50" s="6">
        <f>COUNTIF('Từng bài'!$P$2:$P$85,A50)</f>
        <v/>
      </c>
      <c r="F50" s="6" t="inlineStr">
        <is>
          <t>T2 02/11 16:02 · góc 2</t>
        </is>
      </c>
      <c r="G50" s="6" t="n">
        <v>5</v>
      </c>
      <c r="H50" s="6" t="n">
        <v>5</v>
      </c>
      <c r="I50" s="9">
        <f>IF(G50=0,"-",H50/G50)</f>
        <v/>
      </c>
      <c r="J50" s="6" t="inlineStr">
        <is>
          <t>2026-10-26</t>
        </is>
      </c>
      <c r="K50" s="6" t="inlineStr">
        <is>
          <t>Tốt: phần lớn bài hiện ngay</t>
        </is>
      </c>
    </row>
    <row r="51">
      <c r="A51" s="6" t="n">
        <v>38</v>
      </c>
      <c r="B51" s="6" t="inlineStr">
        <is>
          <t>Yên Thế Online</t>
        </is>
      </c>
      <c r="C51" s="6" t="inlineStr">
        <is>
          <t>Cộng đồng / hội</t>
        </is>
      </c>
      <c r="D51" s="8" t="n">
        <v>64000</v>
      </c>
      <c r="E51" s="6">
        <f>COUNTIF('Từng bài'!$P$2:$P$85,A51)</f>
        <v/>
      </c>
      <c r="F51" s="6" t="inlineStr">
        <is>
          <t>T7 31/10 11:04 · góc 1</t>
        </is>
      </c>
      <c r="G51" s="6" t="n">
        <v>5</v>
      </c>
      <c r="H51" s="6" t="n">
        <v>4</v>
      </c>
      <c r="I51" s="9">
        <f>IF(G51=0,"-",H51/G51)</f>
        <v/>
      </c>
      <c r="J51" s="6" t="inlineStr">
        <is>
          <t>2026-10-21</t>
        </is>
      </c>
      <c r="K51" s="6" t="inlineStr">
        <is>
          <t>Tốt: phần lớn bài hiện ngay</t>
        </is>
      </c>
    </row>
    <row r="52">
      <c r="A52" s="6" t="n">
        <v>230</v>
      </c>
      <c r="B52" s="6" t="inlineStr">
        <is>
          <t>[ MUA BÁN NHÀ ĐẤT TÂN YÊN &amp; YÊN THẾ ]</t>
        </is>
      </c>
      <c r="C52" s="6" t="inlineStr">
        <is>
          <t>Nhà đất / BĐS</t>
        </is>
      </c>
      <c r="D52" s="8" t="n">
        <v>2200</v>
      </c>
      <c r="E52" s="6">
        <f>COUNTIF('Từng bài'!$P$2:$P$85,A52)</f>
        <v/>
      </c>
      <c r="F52" s="6" t="inlineStr">
        <is>
          <t>T7 31/10 09:44 · góc 4</t>
        </is>
      </c>
      <c r="G52" s="6" t="n">
        <v>5</v>
      </c>
      <c r="H52" s="6" t="n">
        <v>5</v>
      </c>
      <c r="I52" s="9">
        <f>IF(G52=0,"-",H52/G52)</f>
        <v/>
      </c>
      <c r="J52" s="6" t="inlineStr">
        <is>
          <t>2026-10-25</t>
        </is>
      </c>
      <c r="K52" s="6" t="inlineStr">
        <is>
          <t>Tốt: phần lớn bài hiện ngay</t>
        </is>
      </c>
    </row>
    <row r="53">
      <c r="A53" s="6" t="n">
        <v>553</v>
      </c>
      <c r="B53" s="6" t="inlineStr">
        <is>
          <t>chợ mi điền - KCN Đình Trám - Vân Trung - Quang Châu</t>
        </is>
      </c>
      <c r="C53" s="6" t="inlineStr">
        <is>
          <t>KCN / nhà trọ</t>
        </is>
      </c>
      <c r="D53" s="8" t="n">
        <v>45000</v>
      </c>
      <c r="E53" s="6">
        <f>COUNTIF('Từng bài'!$P$2:$P$85,A53)</f>
        <v/>
      </c>
      <c r="F53" s="6" t="inlineStr">
        <is>
          <t>CN 01/11 08:32 · góc 10</t>
        </is>
      </c>
      <c r="G53" s="6" t="n">
        <v>0</v>
      </c>
      <c r="H53" s="6" t="n">
        <v>0</v>
      </c>
      <c r="I53" s="9">
        <f>IF(G53=0,"-",H53/G53)</f>
        <v/>
      </c>
      <c r="J53" s="6" t="inlineStr"/>
      <c r="K53" s="6" t="inlineStr">
        <is>
          <t>Nhóm mới, chưa đăng lần nào: theo dõi bài đầu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44" customWidth="1" min="3" max="3"/>
    <col width="9" customWidth="1" min="4" max="4"/>
    <col width="46" customWidth="1" min="5" max="5"/>
    <col width="52" customWidth="1" min="6" max="6"/>
  </cols>
  <sheetData>
    <row r="1">
      <c r="A1" s="7" t="inlineStr">
        <is>
          <t>Góc</t>
        </is>
      </c>
      <c r="B1" s="7" t="inlineStr">
        <is>
          <t>Loại bài (góc)</t>
        </is>
      </c>
      <c r="C1" s="7" t="inlineStr">
        <is>
          <t>Vì sao dùng góc này</t>
        </is>
      </c>
      <c r="D1" s="7" t="inlineStr">
        <is>
          <t>Số bài tuần này</t>
        </is>
      </c>
      <c r="E1" s="7" t="inlineStr">
        <is>
          <t>Đăng vào loại nhóm nào</t>
        </is>
      </c>
      <c r="F1" s="7" t="inlineStr">
        <is>
          <t>Ví dụ tiêu đề</t>
        </is>
      </c>
    </row>
    <row r="2">
      <c r="A2" s="6" t="n">
        <v>0</v>
      </c>
      <c r="B2" s="6" t="inlineStr">
        <is>
          <t>Cho thuê văn phòng Sun City</t>
        </is>
      </c>
      <c r="C2" s="6" t="inlineStr">
        <is>
          <t>Mặt tiền Hùng Vương, 240–1.200 m², video định vị</t>
        </is>
      </c>
      <c r="D2" s="6">
        <f>COUNTIF('Từng bài'!$D$2:$D$85,A2)</f>
        <v/>
      </c>
      <c r="E2" s="6" t="inlineStr">
        <is>
          <t>Nhà đất / BĐS 2</t>
        </is>
      </c>
      <c r="F2" s="6" t="inlineStr">
        <is>
          <t>🏢 MẶT BẰNG 1.200 M² TẦNG 2 SUN CITY: LÀM VĂN PHÒNG, TRUNG TÂM ĐÀO TẠO ĐỀU HỢP</t>
        </is>
      </c>
    </row>
    <row r="3">
      <c r="A3" s="6" t="n">
        <v>1</v>
      </c>
      <c r="B3" s="6" t="inlineStr">
        <is>
          <t>Rủ anh em, họ hàng mua gần nhau</t>
        </is>
      </c>
      <c r="C3" s="6" t="inlineStr">
        <is>
          <t>Khách mua theo cụm làng/dòng họ, truyền miệng mạnh</t>
        </is>
      </c>
      <c r="D3" s="6">
        <f>COUNTIF('Từng bài'!$D$2:$D$85,A3)</f>
        <v/>
      </c>
      <c r="E3" s="6" t="inlineStr">
        <is>
          <t>Nhà đất / BĐS 2, Cộng đồng / hội 2, Chợ địa phương 2, KCN / nhà trọ 1</t>
        </is>
      </c>
      <c r="F3" s="6" t="inlineStr">
        <is>
          <t>🏡 RỦ ANH EM XEM ĐẤT? CHỈ VỚI 500 TRIỆU ĐÃ SỞ HỮU LÔ ĐẤT</t>
        </is>
      </c>
    </row>
    <row r="4">
      <c r="A4" s="6" t="n">
        <v>2</v>
      </c>
      <c r="B4" s="6" t="inlineStr">
        <is>
          <t>Hai vợ chồng cùng đi xem</t>
        </is>
      </c>
      <c r="C4" s="6" t="inlineStr">
        <is>
          <t>Vợ cùng quyết định; nhiều nữ đứng tên</t>
        </is>
      </c>
      <c r="D4" s="6">
        <f>COUNTIF('Từng bài'!$D$2:$D$85,A4)</f>
        <v/>
      </c>
      <c r="E4" s="6" t="inlineStr">
        <is>
          <t>Chợ địa phương 2, KCN / nhà trọ 2, Cộng đồng / hội 2, Nhà đất / BĐS 1</t>
        </is>
      </c>
      <c r="F4" s="6" t="inlineStr">
        <is>
          <t>🏡 VỢ CHỒNG LÀM NHÀ? CHỈ VỚI 500 TRIỆU ĐÃ SỞ HỮU LÔ ĐẤT</t>
        </is>
      </c>
    </row>
    <row r="5">
      <c r="A5" s="6" t="n">
        <v>3</v>
      </c>
      <c r="B5" s="6" t="inlineStr">
        <is>
          <t>Đất làm nhà cưới cho con</t>
        </is>
      </c>
      <c r="C5" s="6" t="inlineStr">
        <is>
          <t>Cha mẹ 45–65 tuổi mua cho con; cuối năm mùa cưới</t>
        </is>
      </c>
      <c r="D5" s="6">
        <f>COUNTIF('Từng bài'!$D$2:$D$85,A5)</f>
        <v/>
      </c>
      <c r="E5" s="6" t="inlineStr">
        <is>
          <t>Cộng đồng / hội 4, Chợ địa phương 1</t>
        </is>
      </c>
      <c r="F5" s="6" t="inlineStr">
        <is>
          <t>🏡 ĐẤT CHO CON? CHỈ VỚI 500 TRIỆU ĐÃ SỞ HỮU LÔ ĐẤT</t>
        </is>
      </c>
    </row>
    <row r="6">
      <c r="A6" s="6" t="n">
        <v>4</v>
      </c>
      <c r="B6" s="6" t="inlineStr">
        <is>
          <t>Tết về quê có đất riêng</t>
        </is>
      </c>
      <c r="C6" s="6" t="inlineStr">
        <is>
          <t>Người Yên Thế/Tân Yên làm ăn xa quê</t>
        </is>
      </c>
      <c r="D6" s="6">
        <f>COUNTIF('Từng bài'!$D$2:$D$85,A6)</f>
        <v/>
      </c>
      <c r="E6" s="6" t="inlineStr">
        <is>
          <t>Cộng đồng / hội 2, KCN / nhà trọ 2, Nhà đất / BĐS 1</t>
        </is>
      </c>
      <c r="F6" s="6" t="inlineStr">
        <is>
          <t>🧧 MONG TẾT VỀ QUÊ: CHỈ VỚI 500 TRIỆU ĐÃ SỞ HỮU LÔ ĐẤT</t>
        </is>
      </c>
    </row>
    <row r="7">
      <c r="A7" s="6" t="n">
        <v>5</v>
      </c>
      <c r="B7" s="6" t="inlineStr">
        <is>
          <t>Tối cho con ra quảng trường chơi</t>
        </is>
      </c>
      <c r="C7" s="6" t="inlineStr">
        <is>
          <t>Quảng trường sáng đèn, cầu trượt (đăng sau 19h)</t>
        </is>
      </c>
      <c r="D7" s="6">
        <f>COUNTIF('Từng bài'!$D$2:$D$85,A7)</f>
        <v/>
      </c>
      <c r="E7" s="6" t="inlineStr">
        <is>
          <t>Cộng đồng / hội 6, KCN / nhà trọ 6, Nhà đất / BĐS 3, Chợ địa phương 2</t>
        </is>
      </c>
      <c r="F7" s="6" t="inlineStr">
        <is>
          <t>🌙 QUẢNG TRƯỜNG SÁNG ĐÈN: CHỈ VỚI 500 TRIỆU ĐÃ SỞ HỮU LÔ ĐẤT</t>
        </is>
      </c>
    </row>
    <row r="8">
      <c r="A8" s="6" t="n">
        <v>6</v>
      </c>
      <c r="B8" s="6" t="inlineStr">
        <is>
          <t>Dạo một vòng bằng flycam</t>
        </is>
      </c>
      <c r="C8" s="6" t="inlineStr">
        <is>
          <t>Ảnh thật tạo tin; chú thích từng ảnh</t>
        </is>
      </c>
      <c r="D8" s="6">
        <f>COUNTIF('Từng bài'!$D$2:$D$85,A8)</f>
        <v/>
      </c>
      <c r="E8" s="6" t="inlineStr">
        <is>
          <t>KCN / nhà trọ 2, Cộng đồng / hội 2, Nhà đất / BĐS 1, Chợ địa phương 1</t>
        </is>
      </c>
      <c r="F8" s="6" t="inlineStr">
        <is>
          <t>📍 XEM TỪ TRÊN CAO? CHỈ VỚI 500 TRIỆU ĐÃ SỞ HỮU LÔ ĐẤT</t>
        </is>
      </c>
    </row>
    <row r="9">
      <c r="A9" s="6" t="n">
        <v>7</v>
      </c>
      <c r="B9" s="6" t="inlineStr">
        <is>
          <t>Hỏi nhanh – đáp nhanh</t>
        </is>
      </c>
      <c r="C9" s="6" t="inlineStr">
        <is>
          <t>Khách hay hỏi: sổ, giá, vay, ai dẫn đi xem</t>
        </is>
      </c>
      <c r="D9" s="6">
        <f>COUNTIF('Từng bài'!$D$2:$D$85,A9)</f>
        <v/>
      </c>
      <c r="E9" s="6" t="inlineStr">
        <is>
          <t>Cộng đồng / hội 2, KCN / nhà trọ 2, Nhà đất / BĐS 1, Chợ địa phương 1</t>
        </is>
      </c>
      <c r="F9" s="6" t="inlineStr">
        <is>
          <t>✅ HỎI TRƯỚC KHI MUA? CHỈ VỚI 500 TRIỆU ĐÃ SỞ HỮU LÔ ĐẤT</t>
        </is>
      </c>
    </row>
    <row r="10">
      <c r="A10" s="6" t="n">
        <v>8</v>
      </c>
      <c r="B10" s="6" t="inlineStr">
        <is>
          <t>Làm KCN, về quê có đất</t>
        </is>
      </c>
      <c r="C10" s="6" t="inlineStr">
        <is>
          <t>Gia đình trẻ làm KCN Quang Châu/Đình Trám</t>
        </is>
      </c>
      <c r="D10" s="6">
        <f>COUNTIF('Từng bài'!$D$2:$D$85,A10)</f>
        <v/>
      </c>
      <c r="E10" s="6" t="inlineStr">
        <is>
          <t>KCN / nhà trọ 3, Nhà đất / BĐS 1, Cộng đồng / hội 1, Chợ địa phương 1</t>
        </is>
      </c>
      <c r="F10" s="6" t="inlineStr">
        <is>
          <t>🏡 ĐI CA KCN? CHỈ VỚI 500 TRIỆU ĐÃ SỞ HỮU LÔ ĐẤT</t>
        </is>
      </c>
    </row>
    <row r="11">
      <c r="A11" s="6" t="n">
        <v>9</v>
      </c>
      <c r="B11" s="6" t="inlineStr">
        <is>
          <t>Khu dân cư mới giữa trung tâm xã</t>
        </is>
      </c>
      <c r="C11" s="6" t="inlineStr">
        <is>
          <t>Đường nhựa, đèn, quảng trường, sân thể thao</t>
        </is>
      </c>
      <c r="D11" s="6">
        <f>COUNTIF('Từng bài'!$D$2:$D$85,A11)</f>
        <v/>
      </c>
      <c r="E11" s="6" t="inlineStr">
        <is>
          <t>Cộng đồng / hội 4, Chợ địa phương 2</t>
        </is>
      </c>
      <c r="F11" s="6" t="inlineStr">
        <is>
          <t>📍 KHU DÂN CƯ MỚI? CHỈ VỚI 500 TRIỆU ĐÃ SỞ HỮU LÔ ĐẤT</t>
        </is>
      </c>
    </row>
    <row r="12">
      <c r="A12" s="6" t="n">
        <v>10</v>
      </c>
      <c r="B12" s="6" t="inlineStr">
        <is>
          <t>Nhìn từ trên cao / mặt đường</t>
        </is>
      </c>
      <c r="C12" s="6" t="inlineStr">
        <is>
          <t>Flycam dọc đường tỉnh, toàn khu</t>
        </is>
      </c>
      <c r="D12" s="6">
        <f>COUNTIF('Từng bài'!$D$2:$D$85,A12)</f>
        <v/>
      </c>
      <c r="E12" s="6" t="inlineStr">
        <is>
          <t>KCN / nhà trọ 3, Nhà đất / BĐS 1, Cộng đồng / hội 1</t>
        </is>
      </c>
      <c r="F12" s="6" t="inlineStr">
        <is>
          <t>📍 CHỌN ĐẤT XÂY NHÀ? CHỈ VỚI 500 TRIỆU ĐÃ SỞ HỮU LÔ ĐẤT</t>
        </is>
      </c>
    </row>
    <row r="13">
      <c r="A13" s="6" t="n">
        <v>11</v>
      </c>
      <c r="B13" s="6" t="inlineStr">
        <is>
          <t>Vẫn có khách giao dịch, CĐT dẫn đi xem</t>
        </is>
      </c>
      <c r="C13" s="6" t="inlineStr">
        <is>
          <t>Tạo lòng tin, mời hẹn ngày xem</t>
        </is>
      </c>
      <c r="D13" s="6">
        <f>COUNTIF('Từng bài'!$D$2:$D$85,A13)</f>
        <v/>
      </c>
      <c r="E13" s="6" t="inlineStr">
        <is>
          <t>Cộng đồng / hội 3, Nhà đất / BĐS 2, Chợ địa phương 1</t>
        </is>
      </c>
      <c r="F13" s="6" t="inlineStr">
        <is>
          <t>🔥 HẸN NGÀY XEM ĐẤT? CHỈ VỚI 500 TRIỆU ĐÃ SỞ HỮU LÔ ĐẤT</t>
        </is>
      </c>
    </row>
    <row r="14">
      <c r="A14" s="6" t="n">
        <v>12</v>
      </c>
      <c r="B14" s="6" t="inlineStr">
        <is>
          <t>Người các xã lân cận</t>
        </is>
      </c>
      <c r="C14" s="6" t="inlineStr">
        <is>
          <t>Gọi tên xã/vùng của nhóm</t>
        </is>
      </c>
      <c r="D14" s="6">
        <f>COUNTIF('Từng bài'!$D$2:$D$85,A14)</f>
        <v/>
      </c>
      <c r="E14" s="6" t="inlineStr">
        <is>
          <t>KCN / nhà trọ 3, Cộng đồng / hội 2, Nhà đất / BĐS 1</t>
        </is>
      </c>
      <c r="F14" s="6" t="inlineStr">
        <is>
          <t>🏡 Ở QUANH YÊN THẾ? CHỈ VỚI 500 TRIỆU ĐÃ SỞ HỮU LÔ ĐẤT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10" t="inlineStr">
        <is>
          <t>Cột</t>
        </is>
      </c>
      <c r="B1" s="10" t="inlineStr">
        <is>
          <t>Nghĩa</t>
        </is>
      </c>
    </row>
    <row r="2">
      <c r="A2" s="6" t="inlineStr">
        <is>
          <t>Góc / Loại bài</t>
        </is>
      </c>
      <c r="B2" s="6" t="inlineStr">
        <is>
          <t>Câu chuyện chính của bài: 12 góc Golden Hill + 1 loại cho thuê Sun City (nguồn: workspace/research/2026-09-28-goc-sang-tao.md)</t>
        </is>
      </c>
    </row>
    <row r="3">
      <c r="A3" s="6" t="inlineStr">
        <is>
          <t>Đối tượng</t>
        </is>
      </c>
      <c r="B3" s="6" t="inlineStr">
        <is>
          <t>Người đọc chính bài nhắm tới</t>
        </is>
      </c>
    </row>
    <row r="4">
      <c r="A4" s="6" t="inlineStr">
        <is>
          <t>Mã khách báo</t>
        </is>
      </c>
      <c r="B4" s="6" t="inlineStr">
        <is>
          <t>Khách gọi/Zalo 0965.539.599 báo mã này → biết khách đến từ bài nào, nhóm nào</t>
        </is>
      </c>
    </row>
    <row r="5">
      <c r="A5" s="6" t="inlineStr">
        <is>
          <t>Loại nhóm</t>
        </is>
      </c>
      <c r="B5" s="6" t="inlineStr">
        <is>
          <t>Xếp theo tên nhóm: Nhà đất/BĐS · Cộng đồng/hội · KCN/nhà trọ · Chợ địa phương</t>
        </is>
      </c>
    </row>
    <row r="6">
      <c r="A6" s="6" t="inlineStr">
        <is>
          <t>Trạng thái</t>
        </is>
      </c>
      <c r="B6" s="6" t="inlineStr">
        <is>
          <t>Đã hiện = lên nhóm ngay · Chờ nhóm duyệt = quản trị viên chưa duyệt · Hẹn đăng = máy tự đăng đúng giờ · Hỏng = máy đăng không được</t>
        </is>
      </c>
    </row>
    <row r="7">
      <c r="A7" s="6" t="inlineStr">
        <is>
          <t>Tỉ lệ hiện ngay</t>
        </is>
      </c>
      <c r="B7" s="6" t="inlineStr">
        <is>
          <t>Trong các bài đã đăng vào nhóm đó trước 28/10, bao nhiêu phần trăm hiện ngay không phải chờ duyệt</t>
        </is>
      </c>
    </row>
    <row r="8">
      <c r="A8" s="6" t="inlineStr">
        <is>
          <t>Cập nhật</t>
        </is>
      </c>
      <c r="B8" s="6" t="inlineStr">
        <is>
          <t>Xuất lại từ cơ sở dữ liệu; không sửa tay trang 'Từng bài' vì các trang khác đếm từ đó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2026-10-28T07:03:37Z</dcterms:created>
  <dcterms:modified xsi:type="dcterms:W3CDTF">2026-10-28T07:03:37Z</dcterms:modified>
</cp:coreProperties>
</file>